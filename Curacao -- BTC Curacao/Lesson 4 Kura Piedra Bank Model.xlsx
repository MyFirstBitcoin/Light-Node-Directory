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nycalmera/Desktop/My First Bitcoin Preparation/Lesson 4 Fiat Money/"/>
    </mc:Choice>
  </mc:AlternateContent>
  <xr:revisionPtr revIDLastSave="0" documentId="8_{E1D48CD2-586A-B048-A308-FFE7997E16BC}" xr6:coauthVersionLast="47" xr6:coauthVersionMax="47" xr10:uidLastSave="{00000000-0000-0000-0000-000000000000}"/>
  <bookViews>
    <workbookView xWindow="-38400" yWindow="620" windowWidth="38400" windowHeight="20980" activeTab="3" xr2:uid="{94DC3619-9608-894E-8E66-605B7661D01E}"/>
  </bookViews>
  <sheets>
    <sheet name="Sheet1" sheetId="1" r:id="rId1"/>
    <sheet name="Fractional Reserve" sheetId="2" r:id="rId2"/>
    <sheet name="Fractional Reserve Products" sheetId="4" r:id="rId3"/>
    <sheet name="Bank Statemen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F2" i="4"/>
  <c r="C2" i="4"/>
  <c r="D2" i="4" s="1"/>
  <c r="B7" i="3" s="1"/>
  <c r="F2" i="2"/>
  <c r="C2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3" i="2"/>
  <c r="G30" i="3" l="1"/>
  <c r="B3" i="4"/>
  <c r="E2" i="4"/>
  <c r="K7" i="3" s="1"/>
  <c r="D2" i="2"/>
  <c r="O30" i="3" l="1"/>
  <c r="G2" i="4"/>
  <c r="F3" i="4"/>
  <c r="C3" i="4"/>
  <c r="B3" i="2"/>
  <c r="E2" i="2"/>
  <c r="D3" i="4" l="1"/>
  <c r="G2" i="2"/>
  <c r="C3" i="2"/>
  <c r="D3" i="2" s="1"/>
  <c r="F3" i="2"/>
  <c r="E3" i="4" l="1"/>
  <c r="K8" i="3" s="1"/>
  <c r="B8" i="3"/>
  <c r="B4" i="4"/>
  <c r="E3" i="2"/>
  <c r="B4" i="2"/>
  <c r="G31" i="3" l="1"/>
  <c r="O31" i="3"/>
  <c r="C4" i="4"/>
  <c r="F4" i="4"/>
  <c r="D4" i="4"/>
  <c r="G3" i="4"/>
  <c r="C4" i="2"/>
  <c r="F4" i="2"/>
  <c r="G3" i="2"/>
  <c r="E4" i="4" l="1"/>
  <c r="K9" i="3" s="1"/>
  <c r="B9" i="3"/>
  <c r="B5" i="4"/>
  <c r="D4" i="2"/>
  <c r="G32" i="3" l="1"/>
  <c r="O32" i="3"/>
  <c r="G4" i="4"/>
  <c r="C5" i="4"/>
  <c r="D5" i="4"/>
  <c r="F5" i="4"/>
  <c r="B5" i="2"/>
  <c r="E4" i="2"/>
  <c r="E5" i="4" l="1"/>
  <c r="B6" i="4"/>
  <c r="G4" i="2"/>
  <c r="F5" i="2"/>
  <c r="C5" i="2"/>
  <c r="D5" i="2" s="1"/>
  <c r="F6" i="4" l="1"/>
  <c r="C6" i="4"/>
  <c r="D6" i="4" s="1"/>
  <c r="G5" i="4"/>
  <c r="B6" i="2"/>
  <c r="E5" i="2"/>
  <c r="E6" i="4" l="1"/>
  <c r="B7" i="4"/>
  <c r="G5" i="2"/>
  <c r="F6" i="2"/>
  <c r="C6" i="2"/>
  <c r="D6" i="2" s="1"/>
  <c r="G6" i="4" l="1"/>
  <c r="C7" i="4"/>
  <c r="D7" i="4" s="1"/>
  <c r="F7" i="4"/>
  <c r="B7" i="2"/>
  <c r="E6" i="2"/>
  <c r="E7" i="4" l="1"/>
  <c r="B8" i="4"/>
  <c r="G7" i="4"/>
  <c r="G6" i="2"/>
  <c r="F7" i="2"/>
  <c r="C7" i="2"/>
  <c r="D7" i="2" s="1"/>
  <c r="F8" i="4" l="1"/>
  <c r="C8" i="4"/>
  <c r="D8" i="4" s="1"/>
  <c r="B8" i="2"/>
  <c r="E7" i="2"/>
  <c r="G7" i="2" s="1"/>
  <c r="E8" i="4" l="1"/>
  <c r="G8" i="4"/>
  <c r="B9" i="4"/>
  <c r="F8" i="2"/>
  <c r="C8" i="2"/>
  <c r="D8" i="2" s="1"/>
  <c r="C9" i="4" l="1"/>
  <c r="D9" i="4"/>
  <c r="F9" i="4"/>
  <c r="B9" i="2"/>
  <c r="E8" i="2"/>
  <c r="G8" i="2" s="1"/>
  <c r="E9" i="4" l="1"/>
  <c r="B10" i="4"/>
  <c r="G9" i="4"/>
  <c r="F9" i="2"/>
  <c r="C9" i="2"/>
  <c r="D9" i="2" s="1"/>
  <c r="F10" i="4" l="1"/>
  <c r="C10" i="4"/>
  <c r="D10" i="4"/>
  <c r="E10" i="4" s="1"/>
  <c r="B10" i="2"/>
  <c r="E9" i="2"/>
  <c r="G9" i="2" s="1"/>
  <c r="B11" i="4" l="1"/>
  <c r="G10" i="4"/>
  <c r="F10" i="2"/>
  <c r="C10" i="2"/>
  <c r="D10" i="2"/>
  <c r="F11" i="4" l="1"/>
  <c r="C11" i="4"/>
  <c r="D11" i="4" s="1"/>
  <c r="E11" i="4" s="1"/>
  <c r="B11" i="2"/>
  <c r="E10" i="2"/>
  <c r="G10" i="2" s="1"/>
  <c r="G11" i="4" l="1"/>
  <c r="B12" i="4"/>
  <c r="F11" i="2"/>
  <c r="C11" i="2"/>
  <c r="D11" i="2" s="1"/>
  <c r="F12" i="4" l="1"/>
  <c r="C12" i="4"/>
  <c r="D12" i="4" s="1"/>
  <c r="E12" i="4" s="1"/>
  <c r="B12" i="2"/>
  <c r="E11" i="2"/>
  <c r="G11" i="2" s="1"/>
  <c r="B13" i="4" l="1"/>
  <c r="G12" i="4"/>
  <c r="F12" i="2"/>
  <c r="C12" i="2"/>
  <c r="D12" i="2" s="1"/>
  <c r="C13" i="4" l="1"/>
  <c r="D13" i="4"/>
  <c r="E13" i="4" s="1"/>
  <c r="F13" i="4"/>
  <c r="B13" i="2"/>
  <c r="E12" i="2"/>
  <c r="G12" i="2" s="1"/>
  <c r="B14" i="4" l="1"/>
  <c r="G13" i="4"/>
  <c r="F13" i="2"/>
  <c r="C13" i="2"/>
  <c r="D13" i="2"/>
  <c r="F14" i="4" l="1"/>
  <c r="C14" i="4"/>
  <c r="D14" i="4"/>
  <c r="E14" i="4" s="1"/>
  <c r="B14" i="2"/>
  <c r="E13" i="2"/>
  <c r="G13" i="2" s="1"/>
  <c r="G14" i="4" l="1"/>
  <c r="B15" i="4"/>
  <c r="F14" i="2"/>
  <c r="C14" i="2"/>
  <c r="D14" i="2" s="1"/>
  <c r="F15" i="4" l="1"/>
  <c r="C15" i="4"/>
  <c r="D15" i="4" s="1"/>
  <c r="E15" i="4" s="1"/>
  <c r="B15" i="2"/>
  <c r="E14" i="2"/>
  <c r="G14" i="2" s="1"/>
  <c r="B16" i="4" l="1"/>
  <c r="G15" i="4"/>
  <c r="C15" i="2"/>
  <c r="D15" i="2" s="1"/>
  <c r="F15" i="2"/>
  <c r="F16" i="4" l="1"/>
  <c r="C16" i="4"/>
  <c r="D16" i="4" s="1"/>
  <c r="E16" i="4" s="1"/>
  <c r="B16" i="2"/>
  <c r="E15" i="2"/>
  <c r="G15" i="2" s="1"/>
  <c r="B17" i="4" l="1"/>
  <c r="G16" i="4"/>
  <c r="F16" i="2"/>
  <c r="C16" i="2"/>
  <c r="D16" i="2"/>
  <c r="C17" i="4" l="1"/>
  <c r="D17" i="4" s="1"/>
  <c r="E17" i="4" s="1"/>
  <c r="F17" i="4"/>
  <c r="B17" i="2"/>
  <c r="E16" i="2"/>
  <c r="G16" i="2" s="1"/>
  <c r="G17" i="4" l="1"/>
  <c r="B18" i="4"/>
  <c r="F17" i="2"/>
  <c r="C17" i="2"/>
  <c r="D17" i="2" s="1"/>
  <c r="F18" i="4" l="1"/>
  <c r="C18" i="4"/>
  <c r="D18" i="4"/>
  <c r="E18" i="4" s="1"/>
  <c r="E17" i="2"/>
  <c r="G17" i="2" s="1"/>
  <c r="B18" i="2"/>
  <c r="G18" i="4" l="1"/>
  <c r="B19" i="4"/>
  <c r="F18" i="2"/>
  <c r="C18" i="2"/>
  <c r="D18" i="2" s="1"/>
  <c r="C19" i="4" l="1"/>
  <c r="D19" i="4"/>
  <c r="E19" i="4" s="1"/>
  <c r="F19" i="4"/>
  <c r="B19" i="2"/>
  <c r="E18" i="2"/>
  <c r="G18" i="2" s="1"/>
  <c r="B20" i="4" l="1"/>
  <c r="G19" i="4"/>
  <c r="C19" i="2"/>
  <c r="D19" i="2"/>
  <c r="F19" i="2"/>
  <c r="C20" i="4" l="1"/>
  <c r="D20" i="4" s="1"/>
  <c r="E20" i="4" s="1"/>
  <c r="F20" i="4"/>
  <c r="E19" i="2"/>
  <c r="G19" i="2" s="1"/>
  <c r="B20" i="2"/>
  <c r="B21" i="4" l="1"/>
  <c r="G20" i="4"/>
  <c r="C20" i="2"/>
  <c r="D20" i="2"/>
  <c r="F20" i="2"/>
  <c r="F21" i="4" l="1"/>
  <c r="C21" i="4"/>
  <c r="D21" i="4" s="1"/>
  <c r="E21" i="4" s="1"/>
  <c r="B21" i="2"/>
  <c r="E20" i="2"/>
  <c r="G20" i="2" s="1"/>
  <c r="G21" i="4" l="1"/>
  <c r="B22" i="4"/>
  <c r="F21" i="2"/>
  <c r="C21" i="2"/>
  <c r="D21" i="2" s="1"/>
  <c r="C22" i="4" l="1"/>
  <c r="F22" i="4"/>
  <c r="D22" i="4"/>
  <c r="E22" i="4" s="1"/>
  <c r="B22" i="2"/>
  <c r="E21" i="2"/>
  <c r="G21" i="2" s="1"/>
  <c r="G22" i="4" l="1"/>
  <c r="B23" i="4"/>
  <c r="C22" i="2"/>
  <c r="D22" i="2" s="1"/>
  <c r="F22" i="2"/>
  <c r="C23" i="4" l="1"/>
  <c r="D23" i="4" s="1"/>
  <c r="E23" i="4" s="1"/>
  <c r="F23" i="4"/>
  <c r="E22" i="2"/>
  <c r="G22" i="2" s="1"/>
  <c r="B23" i="2"/>
  <c r="G23" i="4" l="1"/>
  <c r="B24" i="4"/>
  <c r="F23" i="2"/>
  <c r="C23" i="2"/>
  <c r="D23" i="2" s="1"/>
  <c r="F24" i="4" l="1"/>
  <c r="C24" i="4"/>
  <c r="D24" i="4"/>
  <c r="E24" i="4" s="1"/>
  <c r="E23" i="2"/>
  <c r="G23" i="2" s="1"/>
  <c r="B24" i="2"/>
  <c r="B25" i="4" l="1"/>
  <c r="G24" i="4"/>
  <c r="F24" i="2"/>
  <c r="C24" i="2"/>
  <c r="D24" i="2" s="1"/>
  <c r="F25" i="4" l="1"/>
  <c r="C25" i="4"/>
  <c r="D25" i="4" s="1"/>
  <c r="E25" i="4" s="1"/>
  <c r="E24" i="2"/>
  <c r="G24" i="2" s="1"/>
  <c r="B25" i="2"/>
  <c r="B26" i="4" l="1"/>
  <c r="G25" i="4"/>
  <c r="C25" i="2"/>
  <c r="F25" i="2"/>
  <c r="D25" i="2"/>
  <c r="F26" i="4" l="1"/>
  <c r="C26" i="4"/>
  <c r="D26" i="4" s="1"/>
  <c r="E26" i="4" s="1"/>
  <c r="E25" i="2"/>
  <c r="G25" i="2" s="1"/>
  <c r="B26" i="2"/>
  <c r="G26" i="4" l="1"/>
  <c r="B27" i="4"/>
  <c r="F26" i="2"/>
  <c r="C26" i="2"/>
  <c r="D26" i="2" s="1"/>
  <c r="C27" i="4" l="1"/>
  <c r="F27" i="4"/>
  <c r="D27" i="4"/>
  <c r="E27" i="4" s="1"/>
  <c r="E26" i="2"/>
  <c r="G26" i="2" s="1"/>
  <c r="B27" i="2"/>
  <c r="B28" i="4" l="1"/>
  <c r="G27" i="4"/>
  <c r="C27" i="2"/>
  <c r="D27" i="2"/>
  <c r="F27" i="2"/>
  <c r="C28" i="4" l="1"/>
  <c r="D28" i="4"/>
  <c r="E28" i="4" s="1"/>
  <c r="F28" i="4"/>
  <c r="E27" i="2"/>
  <c r="G27" i="2" s="1"/>
  <c r="B28" i="2"/>
  <c r="G28" i="4" l="1"/>
  <c r="B29" i="4"/>
  <c r="F28" i="2"/>
  <c r="C28" i="2"/>
  <c r="D28" i="2" s="1"/>
  <c r="F29" i="4" l="1"/>
  <c r="C29" i="4"/>
  <c r="D29" i="4" s="1"/>
  <c r="E29" i="4" s="1"/>
  <c r="E28" i="2"/>
  <c r="G28" i="2" s="1"/>
  <c r="B29" i="2"/>
  <c r="G29" i="4" l="1"/>
  <c r="B30" i="4"/>
  <c r="F29" i="2"/>
  <c r="C29" i="2"/>
  <c r="D29" i="2" s="1"/>
  <c r="F30" i="4" l="1"/>
  <c r="C30" i="4"/>
  <c r="D30" i="4" s="1"/>
  <c r="E30" i="4" s="1"/>
  <c r="B30" i="2"/>
  <c r="E29" i="2"/>
  <c r="G29" i="2" s="1"/>
  <c r="B31" i="4" l="1"/>
  <c r="G30" i="4"/>
  <c r="C30" i="2"/>
  <c r="D30" i="2" s="1"/>
  <c r="F30" i="2"/>
  <c r="C31" i="4" l="1"/>
  <c r="D31" i="4" s="1"/>
  <c r="E31" i="4" s="1"/>
  <c r="F31" i="4"/>
  <c r="E30" i="2"/>
  <c r="G30" i="2" s="1"/>
  <c r="B31" i="2"/>
  <c r="G31" i="4" l="1"/>
  <c r="B32" i="4"/>
  <c r="C31" i="2"/>
  <c r="D31" i="2" s="1"/>
  <c r="F31" i="2"/>
  <c r="F32" i="4" l="1"/>
  <c r="C32" i="4"/>
  <c r="D32" i="4" s="1"/>
  <c r="E32" i="4" s="1"/>
  <c r="E31" i="2"/>
  <c r="G31" i="2" s="1"/>
  <c r="B32" i="2"/>
  <c r="G32" i="4" l="1"/>
  <c r="B33" i="4"/>
  <c r="F32" i="2"/>
  <c r="C32" i="2"/>
  <c r="D32" i="2"/>
  <c r="F33" i="4" l="1"/>
  <c r="C33" i="4"/>
  <c r="D33" i="4" s="1"/>
  <c r="E33" i="4" s="1"/>
  <c r="E32" i="2"/>
  <c r="G32" i="2" s="1"/>
  <c r="B33" i="2"/>
  <c r="B34" i="4" l="1"/>
  <c r="G33" i="4"/>
  <c r="C33" i="2"/>
  <c r="D33" i="2" s="1"/>
  <c r="F33" i="2"/>
  <c r="F34" i="4" l="1"/>
  <c r="C34" i="4"/>
  <c r="D34" i="4" s="1"/>
  <c r="E34" i="4" s="1"/>
  <c r="B34" i="2"/>
  <c r="E33" i="2"/>
  <c r="G33" i="2" s="1"/>
  <c r="G34" i="4" l="1"/>
  <c r="B35" i="4"/>
  <c r="F34" i="2"/>
  <c r="C34" i="2"/>
  <c r="D34" i="2" s="1"/>
  <c r="F35" i="4" l="1"/>
  <c r="C35" i="4"/>
  <c r="D35" i="4" s="1"/>
  <c r="E35" i="4" s="1"/>
  <c r="E34" i="2"/>
  <c r="G34" i="2" s="1"/>
  <c r="B35" i="2"/>
  <c r="B36" i="4" l="1"/>
  <c r="G35" i="4"/>
  <c r="F35" i="2"/>
  <c r="C35" i="2"/>
  <c r="D35" i="2" s="1"/>
  <c r="C36" i="4" l="1"/>
  <c r="D36" i="4"/>
  <c r="E36" i="4" s="1"/>
  <c r="F36" i="4"/>
  <c r="E35" i="2"/>
  <c r="G35" i="2" s="1"/>
  <c r="B36" i="2"/>
  <c r="B37" i="4" l="1"/>
  <c r="G36" i="4"/>
  <c r="C36" i="2"/>
  <c r="D36" i="2" s="1"/>
  <c r="F36" i="2"/>
  <c r="F37" i="4" l="1"/>
  <c r="C37" i="4"/>
  <c r="D37" i="4" s="1"/>
  <c r="E37" i="4" s="1"/>
  <c r="E36" i="2"/>
  <c r="G36" i="2" s="1"/>
  <c r="B37" i="2"/>
  <c r="G37" i="4" l="1"/>
  <c r="B38" i="4"/>
  <c r="F37" i="2"/>
  <c r="C37" i="2"/>
  <c r="D37" i="2" s="1"/>
  <c r="C38" i="4" l="1"/>
  <c r="F38" i="4"/>
  <c r="D38" i="4"/>
  <c r="E38" i="4" s="1"/>
  <c r="E37" i="2"/>
  <c r="G37" i="2" s="1"/>
  <c r="B38" i="2"/>
  <c r="B39" i="4" l="1"/>
  <c r="G38" i="4"/>
  <c r="F38" i="2"/>
  <c r="C38" i="2"/>
  <c r="D38" i="2" s="1"/>
  <c r="F39" i="4" l="1"/>
  <c r="C39" i="4"/>
  <c r="D39" i="4" s="1"/>
  <c r="E39" i="4" s="1"/>
  <c r="B39" i="2"/>
  <c r="E38" i="2"/>
  <c r="G38" i="2" s="1"/>
  <c r="B40" i="4" l="1"/>
  <c r="G39" i="4"/>
  <c r="F39" i="2"/>
  <c r="C39" i="2"/>
  <c r="D39" i="2" s="1"/>
  <c r="F40" i="4" l="1"/>
  <c r="C40" i="4"/>
  <c r="D40" i="4" s="1"/>
  <c r="E40" i="4" s="1"/>
  <c r="B40" i="2"/>
  <c r="E39" i="2"/>
  <c r="G39" i="2" s="1"/>
  <c r="B41" i="4" l="1"/>
  <c r="G40" i="4"/>
  <c r="C40" i="2"/>
  <c r="D40" i="2"/>
  <c r="F40" i="2"/>
  <c r="F41" i="4" l="1"/>
  <c r="C41" i="4"/>
  <c r="D41" i="4" s="1"/>
  <c r="E41" i="4" s="1"/>
  <c r="B41" i="2"/>
  <c r="E40" i="2"/>
  <c r="G40" i="2" s="1"/>
  <c r="B42" i="4" l="1"/>
  <c r="G41" i="4"/>
  <c r="F41" i="2"/>
  <c r="C41" i="2"/>
  <c r="D41" i="2"/>
  <c r="F42" i="4" l="1"/>
  <c r="C42" i="4"/>
  <c r="D42" i="4" s="1"/>
  <c r="E42" i="4" s="1"/>
  <c r="E41" i="2"/>
  <c r="G41" i="2" s="1"/>
  <c r="B42" i="2"/>
  <c r="G42" i="4" l="1"/>
  <c r="B43" i="4"/>
  <c r="F42" i="2"/>
  <c r="C42" i="2"/>
  <c r="D42" i="2" s="1"/>
  <c r="F43" i="4" l="1"/>
  <c r="C43" i="4"/>
  <c r="D43" i="4" s="1"/>
  <c r="E43" i="4" s="1"/>
  <c r="B43" i="2"/>
  <c r="E42" i="2"/>
  <c r="G42" i="2" s="1"/>
  <c r="B44" i="4" l="1"/>
  <c r="G43" i="4"/>
  <c r="C43" i="2"/>
  <c r="D43" i="2" s="1"/>
  <c r="F43" i="2"/>
  <c r="C44" i="4" l="1"/>
  <c r="F44" i="4"/>
  <c r="D44" i="4"/>
  <c r="E44" i="4" s="1"/>
  <c r="E43" i="2"/>
  <c r="G43" i="2" s="1"/>
  <c r="B44" i="2"/>
  <c r="B45" i="4" l="1"/>
  <c r="G44" i="4"/>
  <c r="C44" i="2"/>
  <c r="F44" i="2"/>
  <c r="D44" i="2"/>
  <c r="F45" i="4" l="1"/>
  <c r="C45" i="4"/>
  <c r="D45" i="4" s="1"/>
  <c r="E45" i="4" s="1"/>
  <c r="E44" i="2"/>
  <c r="G44" i="2" s="1"/>
  <c r="B45" i="2"/>
  <c r="G45" i="4" l="1"/>
  <c r="B46" i="4"/>
  <c r="C45" i="2"/>
  <c r="D45" i="2" s="1"/>
  <c r="F45" i="2"/>
  <c r="F46" i="4" l="1"/>
  <c r="C46" i="4"/>
  <c r="D46" i="4" s="1"/>
  <c r="E46" i="4" s="1"/>
  <c r="E45" i="2"/>
  <c r="G45" i="2" s="1"/>
  <c r="B46" i="2"/>
  <c r="B47" i="4" l="1"/>
  <c r="G46" i="4"/>
  <c r="F46" i="2"/>
  <c r="C46" i="2"/>
  <c r="D46" i="2" s="1"/>
  <c r="C47" i="4" l="1"/>
  <c r="D47" i="4" s="1"/>
  <c r="E47" i="4" s="1"/>
  <c r="F47" i="4"/>
  <c r="E46" i="2"/>
  <c r="G46" i="2" s="1"/>
  <c r="B47" i="2"/>
  <c r="G47" i="4" l="1"/>
  <c r="B48" i="4"/>
  <c r="C47" i="2"/>
  <c r="D47" i="2" s="1"/>
  <c r="F47" i="2"/>
  <c r="C48" i="4" l="1"/>
  <c r="F48" i="4"/>
  <c r="D48" i="4"/>
  <c r="E48" i="4" s="1"/>
  <c r="B48" i="2"/>
  <c r="E47" i="2"/>
  <c r="G47" i="2" s="1"/>
  <c r="G48" i="4" l="1"/>
  <c r="B49" i="4"/>
  <c r="C48" i="2"/>
  <c r="D48" i="2"/>
  <c r="F48" i="2"/>
  <c r="F49" i="4" l="1"/>
  <c r="C49" i="4"/>
  <c r="D49" i="4"/>
  <c r="E49" i="4" s="1"/>
  <c r="E48" i="2"/>
  <c r="G48" i="2" s="1"/>
  <c r="B49" i="2"/>
  <c r="B50" i="4" l="1"/>
  <c r="G49" i="4"/>
  <c r="F49" i="2"/>
  <c r="C49" i="2"/>
  <c r="D49" i="2" s="1"/>
  <c r="C50" i="4" l="1"/>
  <c r="D50" i="4" s="1"/>
  <c r="E50" i="4" s="1"/>
  <c r="F50" i="4"/>
  <c r="E49" i="2"/>
  <c r="G49" i="2" s="1"/>
  <c r="B50" i="2"/>
  <c r="B51" i="4" l="1"/>
  <c r="G50" i="4"/>
  <c r="C50" i="2"/>
  <c r="F50" i="2"/>
  <c r="D50" i="2"/>
  <c r="F51" i="4" l="1"/>
  <c r="C51" i="4"/>
  <c r="D51" i="4" s="1"/>
  <c r="E51" i="4" s="1"/>
  <c r="B51" i="2"/>
  <c r="E50" i="2"/>
  <c r="G50" i="2" s="1"/>
  <c r="B52" i="4" l="1"/>
  <c r="G51" i="4"/>
  <c r="F51" i="2"/>
  <c r="C51" i="2"/>
  <c r="D51" i="2" s="1"/>
  <c r="F52" i="4" l="1"/>
  <c r="C52" i="4"/>
  <c r="D52" i="4"/>
  <c r="E52" i="4" s="1"/>
  <c r="E51" i="2"/>
  <c r="G51" i="2" s="1"/>
  <c r="B52" i="2"/>
  <c r="G52" i="4" l="1"/>
  <c r="B53" i="4"/>
  <c r="C52" i="2"/>
  <c r="D52" i="2"/>
  <c r="F52" i="2"/>
  <c r="F53" i="4" l="1"/>
  <c r="C53" i="4"/>
  <c r="D53" i="4" s="1"/>
  <c r="E53" i="4" s="1"/>
  <c r="B53" i="2"/>
  <c r="E52" i="2"/>
  <c r="G52" i="2" s="1"/>
  <c r="G53" i="4" l="1"/>
  <c r="B54" i="4"/>
  <c r="C53" i="2"/>
  <c r="D53" i="2" s="1"/>
  <c r="F53" i="2"/>
  <c r="F54" i="4" l="1"/>
  <c r="C54" i="4"/>
  <c r="D54" i="4" s="1"/>
  <c r="E54" i="4" s="1"/>
  <c r="E53" i="2"/>
  <c r="G53" i="2" s="1"/>
  <c r="B54" i="2"/>
  <c r="B55" i="4" l="1"/>
  <c r="G54" i="4"/>
  <c r="C54" i="2"/>
  <c r="D54" i="2"/>
  <c r="F54" i="2"/>
  <c r="C55" i="4" l="1"/>
  <c r="D55" i="4" s="1"/>
  <c r="E55" i="4" s="1"/>
  <c r="F55" i="4"/>
  <c r="B55" i="2"/>
  <c r="E54" i="2"/>
  <c r="G54" i="2" s="1"/>
  <c r="G55" i="4" l="1"/>
  <c r="B56" i="4"/>
  <c r="C55" i="2"/>
  <c r="F55" i="2"/>
  <c r="D55" i="2"/>
  <c r="F56" i="4" l="1"/>
  <c r="C56" i="4"/>
  <c r="D56" i="4" s="1"/>
  <c r="E56" i="4" s="1"/>
  <c r="B56" i="2"/>
  <c r="E55" i="2"/>
  <c r="G55" i="2" s="1"/>
  <c r="G56" i="4" l="1"/>
  <c r="B57" i="4"/>
  <c r="F56" i="2"/>
  <c r="C56" i="2"/>
  <c r="D56" i="2" s="1"/>
  <c r="C57" i="4" l="1"/>
  <c r="F57" i="4"/>
  <c r="D57" i="4"/>
  <c r="E57" i="4" s="1"/>
  <c r="E56" i="2"/>
  <c r="G56" i="2" s="1"/>
  <c r="B57" i="2"/>
  <c r="B58" i="4" l="1"/>
  <c r="G57" i="4"/>
  <c r="F57" i="2"/>
  <c r="C57" i="2"/>
  <c r="D57" i="2" s="1"/>
  <c r="C58" i="4" l="1"/>
  <c r="D58" i="4"/>
  <c r="E58" i="4" s="1"/>
  <c r="F58" i="4"/>
  <c r="E57" i="2"/>
  <c r="G57" i="2" s="1"/>
  <c r="B58" i="2"/>
  <c r="G58" i="4" l="1"/>
  <c r="B59" i="4"/>
  <c r="C58" i="2"/>
  <c r="D58" i="2" s="1"/>
  <c r="F58" i="2"/>
  <c r="F59" i="4" l="1"/>
  <c r="C59" i="4"/>
  <c r="D59" i="4" s="1"/>
  <c r="E59" i="4" s="1"/>
  <c r="B59" i="2"/>
  <c r="E58" i="2"/>
  <c r="G58" i="2" s="1"/>
  <c r="B60" i="4" l="1"/>
  <c r="G59" i="4"/>
  <c r="C59" i="2"/>
  <c r="D59" i="2"/>
  <c r="F59" i="2"/>
  <c r="F60" i="4" l="1"/>
  <c r="C60" i="4"/>
  <c r="D60" i="4" s="1"/>
  <c r="E60" i="4" s="1"/>
  <c r="E59" i="2"/>
  <c r="G59" i="2" s="1"/>
  <c r="B60" i="2"/>
  <c r="B61" i="4" l="1"/>
  <c r="G60" i="4"/>
  <c r="C60" i="2"/>
  <c r="D60" i="2" s="1"/>
  <c r="F60" i="2"/>
  <c r="F61" i="4" l="1"/>
  <c r="C61" i="4"/>
  <c r="D61" i="4" s="1"/>
  <c r="E61" i="4" s="1"/>
  <c r="B61" i="2"/>
  <c r="E60" i="2"/>
  <c r="G60" i="2" s="1"/>
  <c r="G61" i="4" l="1"/>
  <c r="B62" i="4"/>
  <c r="F61" i="2"/>
  <c r="C61" i="2"/>
  <c r="D61" i="2" s="1"/>
  <c r="F62" i="4" l="1"/>
  <c r="C62" i="4"/>
  <c r="D62" i="4" s="1"/>
  <c r="E62" i="4" s="1"/>
  <c r="E61" i="2"/>
  <c r="G61" i="2" s="1"/>
  <c r="B62" i="2"/>
  <c r="G62" i="4" l="1"/>
  <c r="B63" i="4"/>
  <c r="C62" i="2"/>
  <c r="F62" i="2"/>
  <c r="D62" i="2"/>
  <c r="C63" i="4" l="1"/>
  <c r="F63" i="4"/>
  <c r="D63" i="4"/>
  <c r="E63" i="4" s="1"/>
  <c r="B63" i="2"/>
  <c r="E62" i="2"/>
  <c r="G62" i="2" s="1"/>
  <c r="B64" i="4" l="1"/>
  <c r="G63" i="4"/>
  <c r="C63" i="2"/>
  <c r="D63" i="2"/>
  <c r="F63" i="2"/>
  <c r="F64" i="4" l="1"/>
  <c r="C64" i="4"/>
  <c r="D64" i="4" s="1"/>
  <c r="E64" i="4" s="1"/>
  <c r="B64" i="2"/>
  <c r="E63" i="2"/>
  <c r="G63" i="2" s="1"/>
  <c r="G64" i="4" l="1"/>
  <c r="B65" i="4"/>
  <c r="C64" i="2"/>
  <c r="D64" i="2"/>
  <c r="F64" i="2"/>
  <c r="C65" i="4" l="1"/>
  <c r="D65" i="4" s="1"/>
  <c r="E65" i="4" s="1"/>
  <c r="F65" i="4"/>
  <c r="E64" i="2"/>
  <c r="G64" i="2" s="1"/>
  <c r="B65" i="2"/>
  <c r="B66" i="4" l="1"/>
  <c r="G65" i="4"/>
  <c r="F65" i="2"/>
  <c r="C65" i="2"/>
  <c r="D65" i="2" s="1"/>
  <c r="C66" i="4" l="1"/>
  <c r="D66" i="4" s="1"/>
  <c r="E66" i="4" s="1"/>
  <c r="F66" i="4"/>
  <c r="E65" i="2"/>
  <c r="G65" i="2" s="1"/>
  <c r="B66" i="2"/>
  <c r="B67" i="4" l="1"/>
  <c r="G66" i="4"/>
  <c r="F66" i="2"/>
  <c r="C66" i="2"/>
  <c r="D66" i="2" s="1"/>
  <c r="F67" i="4" l="1"/>
  <c r="C67" i="4"/>
  <c r="D67" i="4" s="1"/>
  <c r="E67" i="4" s="1"/>
  <c r="B67" i="2"/>
  <c r="E66" i="2"/>
  <c r="G66" i="2" s="1"/>
  <c r="G67" i="4" l="1"/>
  <c r="B68" i="4"/>
  <c r="F67" i="2"/>
  <c r="C67" i="2"/>
  <c r="D67" i="2" s="1"/>
  <c r="C68" i="4" l="1"/>
  <c r="D68" i="4"/>
  <c r="E68" i="4" s="1"/>
  <c r="F68" i="4"/>
  <c r="E67" i="2"/>
  <c r="G67" i="2" s="1"/>
  <c r="B68" i="2"/>
  <c r="B69" i="4" l="1"/>
  <c r="G68" i="4"/>
  <c r="F68" i="2"/>
  <c r="C68" i="2"/>
  <c r="D68" i="2" s="1"/>
  <c r="F69" i="4" l="1"/>
  <c r="C69" i="4"/>
  <c r="D69" i="4" s="1"/>
  <c r="E69" i="4" s="1"/>
  <c r="E68" i="2"/>
  <c r="G68" i="2" s="1"/>
  <c r="B69" i="2"/>
  <c r="G69" i="4" l="1"/>
  <c r="B70" i="4"/>
  <c r="C69" i="2"/>
  <c r="D69" i="2" s="1"/>
  <c r="F69" i="2"/>
  <c r="F70" i="4" l="1"/>
  <c r="C70" i="4"/>
  <c r="D70" i="4"/>
  <c r="E70" i="4" s="1"/>
  <c r="B70" i="2"/>
  <c r="E69" i="2"/>
  <c r="G69" i="2" s="1"/>
  <c r="B71" i="4" l="1"/>
  <c r="G70" i="4"/>
  <c r="C70" i="2"/>
  <c r="D70" i="2"/>
  <c r="F70" i="2"/>
  <c r="C71" i="4" l="1"/>
  <c r="F71" i="4"/>
  <c r="D71" i="4"/>
  <c r="E71" i="4" s="1"/>
  <c r="B71" i="2"/>
  <c r="E70" i="2"/>
  <c r="G70" i="2" s="1"/>
  <c r="B72" i="4" l="1"/>
  <c r="G71" i="4"/>
  <c r="F71" i="2"/>
  <c r="C71" i="2"/>
  <c r="D71" i="2" s="1"/>
  <c r="F72" i="4" l="1"/>
  <c r="C72" i="4"/>
  <c r="D72" i="4" s="1"/>
  <c r="E72" i="4" s="1"/>
  <c r="B72" i="2"/>
  <c r="E71" i="2"/>
  <c r="G71" i="2" s="1"/>
  <c r="G72" i="4" l="1"/>
  <c r="B73" i="4"/>
  <c r="C72" i="2"/>
  <c r="D72" i="2"/>
  <c r="F72" i="2"/>
  <c r="F73" i="4" l="1"/>
  <c r="C73" i="4"/>
  <c r="D73" i="4" s="1"/>
  <c r="E73" i="4" s="1"/>
  <c r="B73" i="2"/>
  <c r="E72" i="2"/>
  <c r="G72" i="2" s="1"/>
  <c r="B74" i="4" l="1"/>
  <c r="G73" i="4"/>
  <c r="F73" i="2"/>
  <c r="C73" i="2"/>
  <c r="D73" i="2" s="1"/>
  <c r="C74" i="4" l="1"/>
  <c r="D74" i="4" s="1"/>
  <c r="E74" i="4" s="1"/>
  <c r="F74" i="4"/>
  <c r="B74" i="2"/>
  <c r="E73" i="2"/>
  <c r="G73" i="2" s="1"/>
  <c r="B75" i="4" l="1"/>
  <c r="G74" i="4"/>
  <c r="C74" i="2"/>
  <c r="D74" i="2" s="1"/>
  <c r="F74" i="2"/>
  <c r="C75" i="4" l="1"/>
  <c r="D75" i="4" s="1"/>
  <c r="E75" i="4" s="1"/>
  <c r="F75" i="4"/>
  <c r="B75" i="2"/>
  <c r="E74" i="2"/>
  <c r="G74" i="2" s="1"/>
  <c r="B76" i="4" l="1"/>
  <c r="G75" i="4"/>
  <c r="C75" i="2"/>
  <c r="D75" i="2" s="1"/>
  <c r="F75" i="2"/>
  <c r="F76" i="4" l="1"/>
  <c r="C76" i="4"/>
  <c r="D76" i="4" s="1"/>
  <c r="E76" i="4" s="1"/>
  <c r="E75" i="2"/>
  <c r="G75" i="2" s="1"/>
  <c r="B76" i="2"/>
  <c r="G76" i="4" l="1"/>
  <c r="B77" i="4"/>
  <c r="F76" i="2"/>
  <c r="C76" i="2"/>
  <c r="D76" i="2" s="1"/>
  <c r="F77" i="4" l="1"/>
  <c r="C77" i="4"/>
  <c r="D77" i="4" s="1"/>
  <c r="E77" i="4" s="1"/>
  <c r="E76" i="2"/>
  <c r="G76" i="2" s="1"/>
  <c r="B77" i="2"/>
  <c r="B78" i="4" l="1"/>
  <c r="G77" i="4"/>
  <c r="C77" i="2"/>
  <c r="D77" i="2" s="1"/>
  <c r="F77" i="2"/>
  <c r="C78" i="4" l="1"/>
  <c r="F78" i="4"/>
  <c r="D78" i="4"/>
  <c r="E78" i="4" s="1"/>
  <c r="E77" i="2"/>
  <c r="G77" i="2" s="1"/>
  <c r="B78" i="2"/>
  <c r="G78" i="4" l="1"/>
  <c r="B79" i="4"/>
  <c r="C78" i="2"/>
  <c r="D78" i="2" s="1"/>
  <c r="F78" i="2"/>
  <c r="F79" i="4" l="1"/>
  <c r="C79" i="4"/>
  <c r="D79" i="4" s="1"/>
  <c r="E79" i="4" s="1"/>
  <c r="E78" i="2"/>
  <c r="G78" i="2" s="1"/>
  <c r="B79" i="2"/>
  <c r="B80" i="4" l="1"/>
  <c r="G79" i="4"/>
  <c r="F79" i="2"/>
  <c r="C79" i="2"/>
  <c r="D79" i="2" s="1"/>
  <c r="C80" i="4" l="1"/>
  <c r="D80" i="4" s="1"/>
  <c r="E80" i="4" s="1"/>
  <c r="F80" i="4"/>
  <c r="B80" i="2"/>
  <c r="E79" i="2"/>
  <c r="G79" i="2" s="1"/>
  <c r="B81" i="4" l="1"/>
  <c r="G80" i="4"/>
  <c r="C80" i="2"/>
  <c r="D80" i="2" s="1"/>
  <c r="F80" i="2"/>
  <c r="F81" i="4" l="1"/>
  <c r="C81" i="4"/>
  <c r="D81" i="4" s="1"/>
  <c r="E81" i="4" s="1"/>
  <c r="E80" i="2"/>
  <c r="G80" i="2" s="1"/>
  <c r="B81" i="2"/>
  <c r="B82" i="4" l="1"/>
  <c r="G81" i="4"/>
  <c r="C81" i="2"/>
  <c r="D81" i="2"/>
  <c r="F81" i="2"/>
  <c r="C82" i="4" l="1"/>
  <c r="D82" i="4" s="1"/>
  <c r="E82" i="4" s="1"/>
  <c r="F82" i="4"/>
  <c r="E81" i="2"/>
  <c r="G81" i="2" s="1"/>
  <c r="B82" i="2"/>
  <c r="G82" i="4" l="1"/>
  <c r="B83" i="4"/>
  <c r="F82" i="2"/>
  <c r="C82" i="2"/>
  <c r="D82" i="2" s="1"/>
  <c r="F83" i="4" l="1"/>
  <c r="C83" i="4"/>
  <c r="D83" i="4"/>
  <c r="E83" i="4" s="1"/>
  <c r="B83" i="2"/>
  <c r="E82" i="2"/>
  <c r="G82" i="2" s="1"/>
  <c r="B84" i="4" l="1"/>
  <c r="G83" i="4"/>
  <c r="C83" i="2"/>
  <c r="D83" i="2" s="1"/>
  <c r="F83" i="2"/>
  <c r="C84" i="4" l="1"/>
  <c r="D84" i="4" s="1"/>
  <c r="E84" i="4" s="1"/>
  <c r="F84" i="4"/>
  <c r="E83" i="2"/>
  <c r="G83" i="2" s="1"/>
  <c r="B84" i="2"/>
  <c r="B85" i="4" l="1"/>
  <c r="G84" i="4"/>
  <c r="F84" i="2"/>
  <c r="C84" i="2"/>
  <c r="D84" i="2" s="1"/>
  <c r="C85" i="4" l="1"/>
  <c r="D85" i="4" s="1"/>
  <c r="E85" i="4" s="1"/>
  <c r="F85" i="4"/>
  <c r="B85" i="2"/>
  <c r="E84" i="2"/>
  <c r="G84" i="2" s="1"/>
  <c r="B86" i="4" l="1"/>
  <c r="G85" i="4"/>
  <c r="C85" i="2"/>
  <c r="D85" i="2" s="1"/>
  <c r="F85" i="2"/>
  <c r="F86" i="4" l="1"/>
  <c r="C86" i="4"/>
  <c r="D86" i="4" s="1"/>
  <c r="E86" i="4" s="1"/>
  <c r="E85" i="2"/>
  <c r="G85" i="2" s="1"/>
  <c r="B86" i="2"/>
  <c r="G86" i="4" l="1"/>
  <c r="B87" i="4"/>
  <c r="C86" i="2"/>
  <c r="D86" i="2" s="1"/>
  <c r="F86" i="2"/>
  <c r="F87" i="4" l="1"/>
  <c r="C87" i="4"/>
  <c r="D87" i="4"/>
  <c r="E87" i="4" s="1"/>
  <c r="E86" i="2"/>
  <c r="G86" i="2" s="1"/>
  <c r="B87" i="2"/>
  <c r="B88" i="4" l="1"/>
  <c r="G87" i="4"/>
  <c r="C87" i="2"/>
  <c r="D87" i="2" s="1"/>
  <c r="F87" i="2"/>
  <c r="C88" i="4" l="1"/>
  <c r="F88" i="4"/>
  <c r="D88" i="4"/>
  <c r="E88" i="4" s="1"/>
  <c r="B88" i="2"/>
  <c r="E87" i="2"/>
  <c r="G87" i="2" s="1"/>
  <c r="G88" i="4" l="1"/>
  <c r="B89" i="4"/>
  <c r="F88" i="2"/>
  <c r="C88" i="2"/>
  <c r="D88" i="2" s="1"/>
  <c r="F89" i="4" l="1"/>
  <c r="C89" i="4"/>
  <c r="D89" i="4" s="1"/>
  <c r="E89" i="4" s="1"/>
  <c r="E88" i="2"/>
  <c r="G88" i="2" s="1"/>
  <c r="B89" i="2"/>
  <c r="G89" i="4" l="1"/>
  <c r="B90" i="4"/>
  <c r="C89" i="2"/>
  <c r="F89" i="2"/>
  <c r="D89" i="2"/>
  <c r="C90" i="4" l="1"/>
  <c r="D90" i="4" s="1"/>
  <c r="E90" i="4" s="1"/>
  <c r="F90" i="4"/>
  <c r="E89" i="2"/>
  <c r="G89" i="2" s="1"/>
  <c r="B90" i="2"/>
  <c r="B91" i="4" l="1"/>
  <c r="G90" i="4"/>
  <c r="C90" i="2"/>
  <c r="D90" i="2" s="1"/>
  <c r="F90" i="2"/>
  <c r="C91" i="4" l="1"/>
  <c r="D91" i="4" s="1"/>
  <c r="E91" i="4" s="1"/>
  <c r="F91" i="4"/>
  <c r="B91" i="2"/>
  <c r="E90" i="2"/>
  <c r="G90" i="2" s="1"/>
  <c r="B92" i="4" l="1"/>
  <c r="G91" i="4"/>
  <c r="F91" i="2"/>
  <c r="C91" i="2"/>
  <c r="D91" i="2"/>
  <c r="C92" i="4" l="1"/>
  <c r="D92" i="4" s="1"/>
  <c r="E92" i="4" s="1"/>
  <c r="F92" i="4"/>
  <c r="E91" i="2"/>
  <c r="G91" i="2" s="1"/>
  <c r="B92" i="2"/>
  <c r="G92" i="4" l="1"/>
  <c r="B93" i="4"/>
  <c r="F92" i="2"/>
  <c r="C92" i="2"/>
  <c r="D92" i="2" s="1"/>
  <c r="F93" i="4" l="1"/>
  <c r="C93" i="4"/>
  <c r="D93" i="4" s="1"/>
  <c r="E93" i="4" s="1"/>
  <c r="B93" i="2"/>
  <c r="E92" i="2"/>
  <c r="G92" i="2" s="1"/>
  <c r="B94" i="4" l="1"/>
  <c r="G93" i="4"/>
  <c r="C93" i="2"/>
  <c r="F93" i="2"/>
  <c r="D93" i="2"/>
  <c r="F94" i="4" l="1"/>
  <c r="C94" i="4"/>
  <c r="D94" i="4" s="1"/>
  <c r="E94" i="4" s="1"/>
  <c r="B94" i="2"/>
  <c r="E93" i="2"/>
  <c r="G93" i="2" s="1"/>
  <c r="B95" i="4" l="1"/>
  <c r="G94" i="4"/>
  <c r="C94" i="2"/>
  <c r="D94" i="2" s="1"/>
  <c r="F94" i="2"/>
  <c r="C95" i="4" l="1"/>
  <c r="D95" i="4" s="1"/>
  <c r="E95" i="4" s="1"/>
  <c r="F95" i="4"/>
  <c r="E94" i="2"/>
  <c r="G94" i="2" s="1"/>
  <c r="B95" i="2"/>
  <c r="B96" i="4" l="1"/>
  <c r="G95" i="4"/>
  <c r="F95" i="2"/>
  <c r="C95" i="2"/>
  <c r="D95" i="2" s="1"/>
  <c r="F96" i="4" l="1"/>
  <c r="C96" i="4"/>
  <c r="D96" i="4" s="1"/>
  <c r="E96" i="4" s="1"/>
  <c r="E95" i="2"/>
  <c r="G95" i="2" s="1"/>
  <c r="B96" i="2"/>
  <c r="G96" i="4" l="1"/>
  <c r="B97" i="4"/>
  <c r="F96" i="2"/>
  <c r="C96" i="2"/>
  <c r="D96" i="2" s="1"/>
  <c r="F97" i="4" l="1"/>
  <c r="C97" i="4"/>
  <c r="D97" i="4" s="1"/>
  <c r="E97" i="4" s="1"/>
  <c r="B97" i="2"/>
  <c r="E96" i="2"/>
  <c r="G96" i="2" s="1"/>
  <c r="B98" i="4" l="1"/>
  <c r="G97" i="4"/>
  <c r="C97" i="2"/>
  <c r="D97" i="2" s="1"/>
  <c r="F97" i="2"/>
  <c r="C98" i="4" l="1"/>
  <c r="F98" i="4"/>
  <c r="D98" i="4"/>
  <c r="E98" i="4" s="1"/>
  <c r="E97" i="2"/>
  <c r="G97" i="2" s="1"/>
  <c r="B98" i="2"/>
  <c r="G98" i="4" l="1"/>
  <c r="B99" i="4"/>
  <c r="C98" i="2"/>
  <c r="D98" i="2"/>
  <c r="F98" i="2"/>
  <c r="F99" i="4" l="1"/>
  <c r="C99" i="4"/>
  <c r="D99" i="4" s="1"/>
  <c r="E99" i="4" s="1"/>
  <c r="B99" i="2"/>
  <c r="E98" i="2"/>
  <c r="G98" i="2" s="1"/>
  <c r="G99" i="4" l="1"/>
  <c r="B100" i="4"/>
  <c r="C99" i="2"/>
  <c r="D99" i="2"/>
  <c r="F99" i="2"/>
  <c r="F100" i="4" l="1"/>
  <c r="C100" i="4"/>
  <c r="D100" i="4" s="1"/>
  <c r="E100" i="4" s="1"/>
  <c r="E99" i="2"/>
  <c r="G99" i="2" s="1"/>
  <c r="B100" i="2"/>
  <c r="B101" i="4" l="1"/>
  <c r="G100" i="4"/>
  <c r="C100" i="2"/>
  <c r="F100" i="2"/>
  <c r="D100" i="2"/>
  <c r="F101" i="4" l="1"/>
  <c r="C101" i="4"/>
  <c r="D101" i="4" s="1"/>
  <c r="E101" i="4" s="1"/>
  <c r="E100" i="2"/>
  <c r="G100" i="2" s="1"/>
  <c r="B101" i="2"/>
  <c r="B102" i="4" l="1"/>
  <c r="G101" i="4"/>
  <c r="F101" i="2"/>
  <c r="C101" i="2"/>
  <c r="D101" i="2" s="1"/>
  <c r="C102" i="4" l="1"/>
  <c r="D102" i="4" s="1"/>
  <c r="E102" i="4" s="1"/>
  <c r="F102" i="4"/>
  <c r="B102" i="2"/>
  <c r="E101" i="2"/>
  <c r="G101" i="2" s="1"/>
  <c r="G102" i="4" l="1"/>
  <c r="B103" i="4"/>
  <c r="C102" i="2"/>
  <c r="D102" i="2" s="1"/>
  <c r="F102" i="2"/>
  <c r="F103" i="4" l="1"/>
  <c r="C103" i="4"/>
  <c r="D103" i="4" s="1"/>
  <c r="E103" i="4" s="1"/>
  <c r="E102" i="2"/>
  <c r="G102" i="2" s="1"/>
  <c r="B103" i="2"/>
  <c r="G103" i="4" l="1"/>
  <c r="B104" i="4"/>
  <c r="C103" i="2"/>
  <c r="F103" i="2"/>
  <c r="D103" i="2"/>
  <c r="F104" i="4" l="1"/>
  <c r="C104" i="4"/>
  <c r="D104" i="4" s="1"/>
  <c r="E104" i="4" s="1"/>
  <c r="E103" i="2"/>
  <c r="G103" i="2" s="1"/>
  <c r="B104" i="2"/>
  <c r="B105" i="4" l="1"/>
  <c r="G104" i="4"/>
  <c r="F104" i="2"/>
  <c r="C104" i="2"/>
  <c r="D104" i="2" s="1"/>
  <c r="C105" i="4" l="1"/>
  <c r="D105" i="4" s="1"/>
  <c r="E105" i="4" s="1"/>
  <c r="F105" i="4"/>
  <c r="E104" i="2"/>
  <c r="G104" i="2" s="1"/>
  <c r="B105" i="2"/>
  <c r="B106" i="4" l="1"/>
  <c r="G105" i="4"/>
  <c r="C105" i="2"/>
  <c r="D105" i="2"/>
  <c r="F105" i="2"/>
  <c r="F106" i="4" l="1"/>
  <c r="C106" i="4"/>
  <c r="D106" i="4" s="1"/>
  <c r="E106" i="4" s="1"/>
  <c r="E105" i="2"/>
  <c r="G105" i="2" s="1"/>
  <c r="B106" i="2"/>
  <c r="G106" i="4" l="1"/>
  <c r="B107" i="4"/>
  <c r="F106" i="2"/>
  <c r="C106" i="2"/>
  <c r="D106" i="2" s="1"/>
  <c r="C107" i="4" l="1"/>
  <c r="D107" i="4" s="1"/>
  <c r="E107" i="4" s="1"/>
  <c r="F107" i="4"/>
  <c r="B107" i="2"/>
  <c r="E106" i="2"/>
  <c r="G106" i="2" s="1"/>
  <c r="B108" i="4" l="1"/>
  <c r="G107" i="4"/>
  <c r="C107" i="2"/>
  <c r="D107" i="2" s="1"/>
  <c r="F107" i="2"/>
  <c r="C108" i="4" l="1"/>
  <c r="F108" i="4"/>
  <c r="D108" i="4"/>
  <c r="E108" i="4" s="1"/>
  <c r="E107" i="2"/>
  <c r="G107" i="2" s="1"/>
  <c r="B108" i="2"/>
  <c r="G108" i="4" l="1"/>
  <c r="B109" i="4"/>
  <c r="C108" i="2"/>
  <c r="D108" i="2" s="1"/>
  <c r="F108" i="2"/>
  <c r="F109" i="4" l="1"/>
  <c r="C109" i="4"/>
  <c r="D109" i="4" s="1"/>
  <c r="E109" i="4" s="1"/>
  <c r="E108" i="2"/>
  <c r="G108" i="2" s="1"/>
  <c r="B109" i="2"/>
  <c r="G109" i="4" l="1"/>
  <c r="B110" i="4"/>
  <c r="C109" i="2"/>
  <c r="D109" i="2"/>
  <c r="F109" i="2"/>
  <c r="F110" i="4" l="1"/>
  <c r="C110" i="4"/>
  <c r="D110" i="4" s="1"/>
  <c r="E110" i="4" s="1"/>
  <c r="B110" i="2"/>
  <c r="E109" i="2"/>
  <c r="G109" i="2" s="1"/>
  <c r="B111" i="4" l="1"/>
  <c r="G110" i="4"/>
  <c r="C110" i="2"/>
  <c r="D110" i="2"/>
  <c r="F110" i="2"/>
  <c r="C111" i="4" l="1"/>
  <c r="F111" i="4"/>
  <c r="D111" i="4"/>
  <c r="E111" i="4" s="1"/>
  <c r="E110" i="2"/>
  <c r="G110" i="2" s="1"/>
  <c r="B111" i="2"/>
  <c r="B112" i="4" l="1"/>
  <c r="G111" i="4"/>
  <c r="C111" i="2"/>
  <c r="D111" i="2" s="1"/>
  <c r="F111" i="2"/>
  <c r="C112" i="4" l="1"/>
  <c r="D112" i="4" s="1"/>
  <c r="E112" i="4" s="1"/>
  <c r="F112" i="4"/>
  <c r="E111" i="2"/>
  <c r="G111" i="2" s="1"/>
  <c r="B112" i="2"/>
  <c r="G112" i="4" l="1"/>
  <c r="B113" i="4"/>
  <c r="C112" i="2"/>
  <c r="D112" i="2" s="1"/>
  <c r="F112" i="2"/>
  <c r="F113" i="4" l="1"/>
  <c r="C113" i="4"/>
  <c r="D113" i="4" s="1"/>
  <c r="E113" i="4" s="1"/>
  <c r="B113" i="2"/>
  <c r="E112" i="2"/>
  <c r="G112" i="2" s="1"/>
  <c r="B114" i="4" l="1"/>
  <c r="G113" i="4"/>
  <c r="C113" i="2"/>
  <c r="D113" i="2" s="1"/>
  <c r="F113" i="2"/>
  <c r="F114" i="4" l="1"/>
  <c r="C114" i="4"/>
  <c r="D114" i="4" s="1"/>
  <c r="E114" i="4" s="1"/>
  <c r="E113" i="2"/>
  <c r="G113" i="2" s="1"/>
  <c r="B114" i="2"/>
  <c r="B115" i="4" l="1"/>
  <c r="G114" i="4"/>
  <c r="C114" i="2"/>
  <c r="D114" i="2" s="1"/>
  <c r="F114" i="2"/>
  <c r="C115" i="4" l="1"/>
  <c r="D115" i="4" s="1"/>
  <c r="E115" i="4" s="1"/>
  <c r="F115" i="4"/>
  <c r="E114" i="2"/>
  <c r="G114" i="2" s="1"/>
  <c r="B115" i="2"/>
  <c r="B116" i="4" l="1"/>
  <c r="G115" i="4"/>
  <c r="C115" i="2"/>
  <c r="D115" i="2"/>
  <c r="F115" i="2"/>
  <c r="F116" i="4" l="1"/>
  <c r="C116" i="4"/>
  <c r="D116" i="4" s="1"/>
  <c r="E116" i="4" s="1"/>
  <c r="E115" i="2"/>
  <c r="G115" i="2" s="1"/>
  <c r="B116" i="2"/>
  <c r="G116" i="4" l="1"/>
  <c r="B117" i="4"/>
  <c r="F116" i="2"/>
  <c r="C116" i="2"/>
  <c r="D116" i="2" s="1"/>
  <c r="C117" i="4" l="1"/>
  <c r="D117" i="4" s="1"/>
  <c r="E117" i="4" s="1"/>
  <c r="F117" i="4"/>
  <c r="B117" i="2"/>
  <c r="E116" i="2"/>
  <c r="G116" i="2" s="1"/>
  <c r="B118" i="4" l="1"/>
  <c r="G117" i="4"/>
  <c r="C117" i="2"/>
  <c r="F117" i="2"/>
  <c r="D117" i="2"/>
  <c r="C118" i="4" l="1"/>
  <c r="C119" i="4" s="1"/>
  <c r="J16" i="4" s="1"/>
  <c r="F118" i="4"/>
  <c r="D118" i="4"/>
  <c r="B119" i="4"/>
  <c r="E117" i="2"/>
  <c r="G117" i="2" s="1"/>
  <c r="B118" i="2"/>
  <c r="E118" i="4" l="1"/>
  <c r="K10" i="3" s="1"/>
  <c r="B10" i="3"/>
  <c r="F119" i="4"/>
  <c r="J12" i="4" s="1"/>
  <c r="O7" i="3"/>
  <c r="K30" i="3" s="1"/>
  <c r="D119" i="4"/>
  <c r="J15" i="4" s="1"/>
  <c r="F118" i="2"/>
  <c r="F119" i="2" s="1"/>
  <c r="J12" i="2" s="1"/>
  <c r="C118" i="2"/>
  <c r="C119" i="2" s="1"/>
  <c r="J16" i="2" s="1"/>
  <c r="D118" i="2"/>
  <c r="B119" i="2"/>
  <c r="G33" i="3" l="1"/>
  <c r="G39" i="3" s="1"/>
  <c r="B16" i="3"/>
  <c r="G16" i="3" s="1"/>
  <c r="O33" i="3"/>
  <c r="O41" i="3" s="1"/>
  <c r="K41" i="3" s="1"/>
  <c r="K39" i="3" s="1"/>
  <c r="K16" i="3"/>
  <c r="O16" i="3" s="1"/>
  <c r="O13" i="3" s="1"/>
  <c r="J18" i="4"/>
  <c r="J20" i="4"/>
  <c r="G118" i="4"/>
  <c r="G119" i="4" s="1"/>
  <c r="J13" i="4" s="1"/>
  <c r="E119" i="4"/>
  <c r="J11" i="4" s="1"/>
  <c r="E118" i="2"/>
  <c r="D119" i="2"/>
  <c r="J15" i="2" s="1"/>
  <c r="J20" i="2" l="1"/>
  <c r="J18" i="2"/>
  <c r="G118" i="2"/>
  <c r="G119" i="2" s="1"/>
  <c r="J13" i="2" s="1"/>
  <c r="E119" i="2"/>
  <c r="J11" i="2" s="1"/>
</calcChain>
</file>

<file path=xl/sharedStrings.xml><?xml version="1.0" encoding="utf-8"?>
<sst xmlns="http://schemas.openxmlformats.org/spreadsheetml/2006/main" count="715" uniqueCount="46">
  <si>
    <t>Deposit</t>
  </si>
  <si>
    <t>Reserve</t>
  </si>
  <si>
    <t>Loans</t>
  </si>
  <si>
    <t>Revenues</t>
  </si>
  <si>
    <t>Cost</t>
  </si>
  <si>
    <t>Profit</t>
  </si>
  <si>
    <t>Interests Received Loans</t>
  </si>
  <si>
    <t>Interest  Paid Deposits</t>
  </si>
  <si>
    <t>Fractional Percentage</t>
  </si>
  <si>
    <t xml:space="preserve"> </t>
  </si>
  <si>
    <t xml:space="preserve">  </t>
  </si>
  <si>
    <t>Kura Piedra Bank Earnings</t>
  </si>
  <si>
    <t>Total Revenues</t>
  </si>
  <si>
    <t>Total Cost</t>
  </si>
  <si>
    <t>Total Profit</t>
  </si>
  <si>
    <t>Total Loans</t>
  </si>
  <si>
    <t>Total Reserves</t>
  </si>
  <si>
    <t>Loans to Reserves ratio</t>
  </si>
  <si>
    <t>Multiple</t>
  </si>
  <si>
    <t>Interests Received Mortgage</t>
  </si>
  <si>
    <t>Interest Received Car Loans</t>
  </si>
  <si>
    <t>Interest Received Credit Cards</t>
  </si>
  <si>
    <t>Interest Received Business Loans</t>
  </si>
  <si>
    <t>Kura Piedra Bank</t>
  </si>
  <si>
    <t>Propiedat (Assets)</t>
  </si>
  <si>
    <t>Debe (Liabilities)</t>
  </si>
  <si>
    <t>Balansa (Balance)</t>
  </si>
  <si>
    <t>Ganashi/Perdidat (Profit &amp; Loss / Earnings)</t>
  </si>
  <si>
    <t>Entrada (Revenues)</t>
  </si>
  <si>
    <t>Gastu (Expenditutes</t>
  </si>
  <si>
    <t>Bo Famia</t>
  </si>
  <si>
    <t>Hypotheek</t>
  </si>
  <si>
    <t>Fiansa di Auto</t>
  </si>
  <si>
    <t>Fiansa di Negoshi</t>
  </si>
  <si>
    <t>Fiansa di Credit cards</t>
  </si>
  <si>
    <t>Kas</t>
  </si>
  <si>
    <t>Auto</t>
  </si>
  <si>
    <t>Negoshi</t>
  </si>
  <si>
    <t>Pago Hypotheek</t>
  </si>
  <si>
    <t>Pago Fiansa Auto</t>
  </si>
  <si>
    <t>Pago Fiansa Negoshi</t>
  </si>
  <si>
    <t>Pago di Fiansa di Credit Cards</t>
  </si>
  <si>
    <t>Interes deposito</t>
  </si>
  <si>
    <t>Saldo</t>
  </si>
  <si>
    <t>Total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</si>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</sst>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9" fontId="0" fillId="2" borderId="0" xfId="2" applyFont="1" applyFill="1"/>
    <xf numFmtId="43" fontId="0" fillId="0" borderId="0" xfId="1" applyFont="1"/>
    <xf numFmtId="43" fontId="0" fillId="2" borderId="0" xfId="1" applyFont="1" applyFill="1"/>
    <xf numFmtId="43" fontId="0" fillId="0" borderId="0" xfId="0" applyNumberFormat="1"/>
    <xf numFmtId="43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9" fontId="0" fillId="3" borderId="0" xfId="2" applyFont="1" applyFill="1"/>
    <xf numFmtId="9" fontId="0" fillId="4" borderId="0" xfId="2" applyFont="1" applyFill="1"/>
    <xf numFmtId="9" fontId="0" fillId="5" borderId="0" xfId="2" applyFont="1" applyFill="1"/>
    <xf numFmtId="43" fontId="0" fillId="6" borderId="0" xfId="0" applyNumberFormat="1" applyFill="1"/>
    <xf numFmtId="43" fontId="0" fillId="3" borderId="0" xfId="0" applyNumberFormat="1" applyFill="1"/>
    <xf numFmtId="43" fontId="0" fillId="3" borderId="0" xfId="1" applyFont="1" applyFill="1"/>
    <xf numFmtId="43" fontId="0" fillId="7" borderId="0" xfId="0" applyNumberFormat="1" applyFill="1"/>
    <xf numFmtId="43" fontId="0" fillId="7" borderId="0" xfId="1" applyFont="1" applyFill="1"/>
    <xf numFmtId="43" fontId="0" fillId="5" borderId="0" xfId="0" applyNumberFormat="1" applyFill="1"/>
    <xf numFmtId="43" fontId="0" fillId="5" borderId="0" xfId="1" applyFont="1" applyFill="1"/>
    <xf numFmtId="164" fontId="0" fillId="8" borderId="0" xfId="0" applyNumberFormat="1" applyFill="1"/>
    <xf numFmtId="0" fontId="0" fillId="9" borderId="0" xfId="0" applyFill="1"/>
    <xf numFmtId="0" fontId="0" fillId="7" borderId="0" xfId="0" applyFill="1"/>
    <xf numFmtId="0" fontId="0" fillId="10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2C55-F12C-4443-83CC-F7856D31BD7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F515-EC48-0D44-997C-A4FA17A0463E}">
  <dimension ref="A1:J164"/>
  <sheetViews>
    <sheetView zoomScale="184" zoomScaleNormal="184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baseColWidth="10" defaultRowHeight="16" x14ac:dyDescent="0.2"/>
  <cols>
    <col min="2" max="2" width="13.1640625" bestFit="1" customWidth="1"/>
    <col min="3" max="3" width="12.33203125" customWidth="1"/>
    <col min="4" max="4" width="14.33203125" customWidth="1"/>
    <col min="9" max="9" width="22.1640625" customWidth="1"/>
    <col min="10" max="10" width="13.33203125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0" x14ac:dyDescent="0.2">
      <c r="A2">
        <v>1</v>
      </c>
      <c r="B2" s="4">
        <v>1000000</v>
      </c>
      <c r="C2" s="5">
        <f>B2*$J$2</f>
        <v>100000</v>
      </c>
      <c r="D2" s="5">
        <f>B2-C2</f>
        <v>900000</v>
      </c>
      <c r="E2" s="3">
        <f>+D2*$J$4</f>
        <v>45000</v>
      </c>
      <c r="F2" s="5">
        <f>B2*$J$3</f>
        <v>20000</v>
      </c>
      <c r="G2" s="5">
        <f>E2-F2</f>
        <v>25000</v>
      </c>
      <c r="I2" t="s">
        <v>8</v>
      </c>
      <c r="J2" s="2">
        <v>0.1</v>
      </c>
    </row>
    <row r="3" spans="1:10" x14ac:dyDescent="0.2">
      <c r="A3">
        <f>+A2+1</f>
        <v>2</v>
      </c>
      <c r="B3" s="5">
        <f>D2</f>
        <v>900000</v>
      </c>
      <c r="C3" s="5">
        <f t="shared" ref="C3:C66" si="0">B3*$J$2</f>
        <v>90000</v>
      </c>
      <c r="D3" s="5">
        <f t="shared" ref="D3:D14" si="1">B3-C3</f>
        <v>810000</v>
      </c>
      <c r="E3" s="3">
        <f t="shared" ref="E3:E66" si="2">+D3*$J$4</f>
        <v>40500</v>
      </c>
      <c r="F3" s="5">
        <f t="shared" ref="F3:F14" si="3">B3*$J$3</f>
        <v>18000</v>
      </c>
      <c r="G3" s="5">
        <f t="shared" ref="G3:G14" si="4">E3-F3</f>
        <v>22500</v>
      </c>
      <c r="I3" s="1" t="s">
        <v>7</v>
      </c>
      <c r="J3" s="2">
        <v>0.02</v>
      </c>
    </row>
    <row r="4" spans="1:10" x14ac:dyDescent="0.2">
      <c r="A4">
        <f t="shared" ref="A4:A28" si="5">+A3+1</f>
        <v>3</v>
      </c>
      <c r="B4" s="5">
        <f t="shared" ref="B4:B14" si="6">D3</f>
        <v>810000</v>
      </c>
      <c r="C4" s="5">
        <f t="shared" si="0"/>
        <v>81000</v>
      </c>
      <c r="D4" s="5">
        <f t="shared" si="1"/>
        <v>729000</v>
      </c>
      <c r="E4" s="3">
        <f t="shared" si="2"/>
        <v>36450</v>
      </c>
      <c r="F4" s="5">
        <f t="shared" si="3"/>
        <v>16200</v>
      </c>
      <c r="G4" s="5">
        <f t="shared" si="4"/>
        <v>20250</v>
      </c>
      <c r="I4" t="s">
        <v>6</v>
      </c>
      <c r="J4" s="2">
        <v>0.05</v>
      </c>
    </row>
    <row r="5" spans="1:10" x14ac:dyDescent="0.2">
      <c r="A5">
        <f t="shared" si="5"/>
        <v>4</v>
      </c>
      <c r="B5" s="5">
        <f t="shared" si="6"/>
        <v>729000</v>
      </c>
      <c r="C5" s="5">
        <f t="shared" si="0"/>
        <v>72900</v>
      </c>
      <c r="D5" s="5">
        <f t="shared" si="1"/>
        <v>656100</v>
      </c>
      <c r="E5" s="3">
        <f t="shared" si="2"/>
        <v>32805</v>
      </c>
      <c r="F5" s="5">
        <f t="shared" si="3"/>
        <v>14580</v>
      </c>
      <c r="G5" s="5">
        <f t="shared" si="4"/>
        <v>18225</v>
      </c>
    </row>
    <row r="6" spans="1:10" x14ac:dyDescent="0.2">
      <c r="A6">
        <f t="shared" si="5"/>
        <v>5</v>
      </c>
      <c r="B6" s="5">
        <f t="shared" si="6"/>
        <v>656100</v>
      </c>
      <c r="C6" s="5">
        <f t="shared" si="0"/>
        <v>65610</v>
      </c>
      <c r="D6" s="5">
        <f t="shared" si="1"/>
        <v>590490</v>
      </c>
      <c r="E6" s="3">
        <f t="shared" si="2"/>
        <v>29524.5</v>
      </c>
      <c r="F6" s="5">
        <f t="shared" si="3"/>
        <v>13122</v>
      </c>
      <c r="G6" s="5">
        <f t="shared" si="4"/>
        <v>16402.5</v>
      </c>
    </row>
    <row r="7" spans="1:10" x14ac:dyDescent="0.2">
      <c r="A7">
        <f t="shared" si="5"/>
        <v>6</v>
      </c>
      <c r="B7" s="5">
        <f t="shared" si="6"/>
        <v>590490</v>
      </c>
      <c r="C7" s="5">
        <f t="shared" si="0"/>
        <v>59049</v>
      </c>
      <c r="D7" s="5">
        <f t="shared" si="1"/>
        <v>531441</v>
      </c>
      <c r="E7" s="3">
        <f t="shared" si="2"/>
        <v>26572.050000000003</v>
      </c>
      <c r="F7" s="5">
        <f t="shared" si="3"/>
        <v>11809.800000000001</v>
      </c>
      <c r="G7" s="5">
        <f t="shared" si="4"/>
        <v>14762.250000000002</v>
      </c>
    </row>
    <row r="8" spans="1:10" x14ac:dyDescent="0.2">
      <c r="A8">
        <f t="shared" si="5"/>
        <v>7</v>
      </c>
      <c r="B8" s="5">
        <f t="shared" si="6"/>
        <v>531441</v>
      </c>
      <c r="C8" s="5">
        <f t="shared" si="0"/>
        <v>53144.100000000006</v>
      </c>
      <c r="D8" s="5">
        <f t="shared" si="1"/>
        <v>478296.9</v>
      </c>
      <c r="E8" s="3">
        <f t="shared" si="2"/>
        <v>23914.845000000001</v>
      </c>
      <c r="F8" s="5">
        <f t="shared" si="3"/>
        <v>10628.82</v>
      </c>
      <c r="G8" s="5">
        <f t="shared" si="4"/>
        <v>13286.025000000001</v>
      </c>
    </row>
    <row r="9" spans="1:10" x14ac:dyDescent="0.2">
      <c r="A9">
        <f t="shared" si="5"/>
        <v>8</v>
      </c>
      <c r="B9" s="5">
        <f t="shared" si="6"/>
        <v>478296.9</v>
      </c>
      <c r="C9" s="5">
        <f t="shared" si="0"/>
        <v>47829.69</v>
      </c>
      <c r="D9" s="5">
        <f t="shared" si="1"/>
        <v>430467.21</v>
      </c>
      <c r="E9" s="3">
        <f t="shared" si="2"/>
        <v>21523.360500000003</v>
      </c>
      <c r="F9" s="5">
        <f t="shared" si="3"/>
        <v>9565.9380000000001</v>
      </c>
      <c r="G9" s="5">
        <f t="shared" si="4"/>
        <v>11957.422500000002</v>
      </c>
    </row>
    <row r="10" spans="1:10" x14ac:dyDescent="0.2">
      <c r="A10">
        <f t="shared" si="5"/>
        <v>9</v>
      </c>
      <c r="B10" s="5">
        <f t="shared" si="6"/>
        <v>430467.21</v>
      </c>
      <c r="C10" s="5">
        <f t="shared" si="0"/>
        <v>43046.721000000005</v>
      </c>
      <c r="D10" s="5">
        <f t="shared" si="1"/>
        <v>387420.489</v>
      </c>
      <c r="E10" s="3">
        <f t="shared" si="2"/>
        <v>19371.024450000001</v>
      </c>
      <c r="F10" s="5">
        <f t="shared" si="3"/>
        <v>8609.3442000000014</v>
      </c>
      <c r="G10" s="5">
        <f t="shared" si="4"/>
        <v>10761.680249999999</v>
      </c>
      <c r="I10" s="1" t="s">
        <v>11</v>
      </c>
    </row>
    <row r="11" spans="1:10" x14ac:dyDescent="0.2">
      <c r="A11">
        <f t="shared" si="5"/>
        <v>10</v>
      </c>
      <c r="B11" s="5">
        <f t="shared" si="6"/>
        <v>387420.489</v>
      </c>
      <c r="C11" s="5">
        <f t="shared" si="0"/>
        <v>38742.048900000002</v>
      </c>
      <c r="D11" s="5">
        <f t="shared" si="1"/>
        <v>348678.44010000001</v>
      </c>
      <c r="E11" s="3">
        <f t="shared" si="2"/>
        <v>17433.922005</v>
      </c>
      <c r="F11" s="5">
        <f t="shared" si="3"/>
        <v>7748.40978</v>
      </c>
      <c r="G11" s="5">
        <f t="shared" si="4"/>
        <v>9685.5122250000004</v>
      </c>
      <c r="I11" t="s">
        <v>12</v>
      </c>
      <c r="J11" s="7">
        <f>E119</f>
        <v>449998.00663826062</v>
      </c>
    </row>
    <row r="12" spans="1:10" x14ac:dyDescent="0.2">
      <c r="A12">
        <f t="shared" si="5"/>
        <v>11</v>
      </c>
      <c r="B12" s="5">
        <f t="shared" si="6"/>
        <v>348678.44010000001</v>
      </c>
      <c r="C12" s="5">
        <f t="shared" si="0"/>
        <v>34867.844010000001</v>
      </c>
      <c r="D12" s="5">
        <f t="shared" si="1"/>
        <v>313810.59609000001</v>
      </c>
      <c r="E12" s="3">
        <f t="shared" si="2"/>
        <v>15690.529804500002</v>
      </c>
      <c r="F12" s="5">
        <f t="shared" si="3"/>
        <v>6973.5688020000007</v>
      </c>
      <c r="G12" s="5">
        <f t="shared" si="4"/>
        <v>8716.9610025000002</v>
      </c>
      <c r="I12" t="s">
        <v>13</v>
      </c>
      <c r="J12" s="7">
        <f>F119</f>
        <v>199999.11406144904</v>
      </c>
    </row>
    <row r="13" spans="1:10" x14ac:dyDescent="0.2">
      <c r="A13">
        <f t="shared" si="5"/>
        <v>12</v>
      </c>
      <c r="B13" s="5">
        <f t="shared" si="6"/>
        <v>313810.59609000001</v>
      </c>
      <c r="C13" s="5">
        <f t="shared" si="0"/>
        <v>31381.059609000004</v>
      </c>
      <c r="D13" s="5">
        <f t="shared" si="1"/>
        <v>282429.53648100002</v>
      </c>
      <c r="E13" s="3">
        <f t="shared" si="2"/>
        <v>14121.476824050002</v>
      </c>
      <c r="F13" s="5">
        <f t="shared" si="3"/>
        <v>6276.2119218000007</v>
      </c>
      <c r="G13" s="5">
        <f t="shared" si="4"/>
        <v>7845.2649022500009</v>
      </c>
      <c r="I13" t="s">
        <v>14</v>
      </c>
      <c r="J13" s="7">
        <f>G119</f>
        <v>249998.89257681152</v>
      </c>
    </row>
    <row r="14" spans="1:10" x14ac:dyDescent="0.2">
      <c r="A14">
        <f t="shared" si="5"/>
        <v>13</v>
      </c>
      <c r="B14" s="5">
        <f t="shared" si="6"/>
        <v>282429.53648100002</v>
      </c>
      <c r="C14" s="5">
        <f t="shared" si="0"/>
        <v>28242.953648100003</v>
      </c>
      <c r="D14" s="5">
        <f t="shared" si="1"/>
        <v>254186.58283290002</v>
      </c>
      <c r="E14" s="3">
        <f t="shared" si="2"/>
        <v>12709.329141645001</v>
      </c>
      <c r="F14" s="5">
        <f t="shared" si="3"/>
        <v>5648.5907296200003</v>
      </c>
      <c r="G14" s="5">
        <f t="shared" si="4"/>
        <v>7060.7384120250008</v>
      </c>
    </row>
    <row r="15" spans="1:10" x14ac:dyDescent="0.2">
      <c r="A15">
        <f t="shared" si="5"/>
        <v>14</v>
      </c>
      <c r="B15" s="5">
        <f t="shared" ref="B15:B24" si="7">D14</f>
        <v>254186.58283290002</v>
      </c>
      <c r="C15" s="5">
        <f t="shared" si="0"/>
        <v>25418.658283290002</v>
      </c>
      <c r="D15" s="5">
        <f t="shared" ref="D15:D24" si="8">B15-C15</f>
        <v>228767.92454961</v>
      </c>
      <c r="E15" s="3">
        <f t="shared" si="2"/>
        <v>11438.396227480502</v>
      </c>
      <c r="F15" s="5">
        <f t="shared" ref="F15:F24" si="9">B15*$J$3</f>
        <v>5083.7316566580002</v>
      </c>
      <c r="G15" s="5">
        <f t="shared" ref="G15:G24" si="10">E15-F15</f>
        <v>6354.6645708225014</v>
      </c>
      <c r="I15" t="s">
        <v>15</v>
      </c>
      <c r="J15" s="7">
        <f>D119</f>
        <v>8999960.1327652056</v>
      </c>
    </row>
    <row r="16" spans="1:10" x14ac:dyDescent="0.2">
      <c r="A16">
        <f t="shared" si="5"/>
        <v>15</v>
      </c>
      <c r="B16" s="5">
        <f t="shared" si="7"/>
        <v>228767.92454961</v>
      </c>
      <c r="C16" s="5">
        <f t="shared" si="0"/>
        <v>22876.792454961003</v>
      </c>
      <c r="D16" s="5">
        <f t="shared" si="8"/>
        <v>205891.13209464902</v>
      </c>
      <c r="E16" s="3">
        <f t="shared" si="2"/>
        <v>10294.556604732452</v>
      </c>
      <c r="F16" s="5">
        <f t="shared" si="9"/>
        <v>4575.3584909922001</v>
      </c>
      <c r="G16" s="5">
        <f t="shared" si="10"/>
        <v>5719.1981137402518</v>
      </c>
      <c r="I16" t="s">
        <v>16</v>
      </c>
      <c r="J16" s="7">
        <f>C119</f>
        <v>999995.57030724606</v>
      </c>
    </row>
    <row r="17" spans="1:10" x14ac:dyDescent="0.2">
      <c r="A17">
        <f t="shared" si="5"/>
        <v>16</v>
      </c>
      <c r="B17" s="5">
        <f t="shared" si="7"/>
        <v>205891.13209464902</v>
      </c>
      <c r="C17" s="5">
        <f t="shared" si="0"/>
        <v>20589.113209464904</v>
      </c>
      <c r="D17" s="5">
        <f t="shared" si="8"/>
        <v>185302.01888518411</v>
      </c>
      <c r="E17" s="3">
        <f t="shared" si="2"/>
        <v>9265.1009442592058</v>
      </c>
      <c r="F17" s="5">
        <f t="shared" si="9"/>
        <v>4117.8226418929808</v>
      </c>
      <c r="G17" s="5">
        <f t="shared" si="10"/>
        <v>5147.278302366225</v>
      </c>
    </row>
    <row r="18" spans="1:10" x14ac:dyDescent="0.2">
      <c r="A18">
        <f t="shared" si="5"/>
        <v>17</v>
      </c>
      <c r="B18" s="5">
        <f t="shared" si="7"/>
        <v>185302.01888518411</v>
      </c>
      <c r="C18" s="5">
        <f t="shared" si="0"/>
        <v>18530.201888518412</v>
      </c>
      <c r="D18" s="5">
        <f t="shared" si="8"/>
        <v>166771.8169966657</v>
      </c>
      <c r="E18" s="3">
        <f t="shared" si="2"/>
        <v>8338.5908498332847</v>
      </c>
      <c r="F18" s="5">
        <f t="shared" si="9"/>
        <v>3706.0403777036822</v>
      </c>
      <c r="G18" s="5">
        <f t="shared" si="10"/>
        <v>4632.550472129602</v>
      </c>
      <c r="I18" t="s">
        <v>17</v>
      </c>
      <c r="J18">
        <f>J15/J16</f>
        <v>8.9999999999999911</v>
      </c>
    </row>
    <row r="19" spans="1:10" x14ac:dyDescent="0.2">
      <c r="A19">
        <f t="shared" si="5"/>
        <v>18</v>
      </c>
      <c r="B19" s="5">
        <f t="shared" si="7"/>
        <v>166771.8169966657</v>
      </c>
      <c r="C19" s="5">
        <f t="shared" si="0"/>
        <v>16677.181699666569</v>
      </c>
      <c r="D19" s="5">
        <f t="shared" si="8"/>
        <v>150094.63529699913</v>
      </c>
      <c r="E19" s="3">
        <f t="shared" si="2"/>
        <v>7504.7317648499566</v>
      </c>
      <c r="F19" s="5">
        <f t="shared" si="9"/>
        <v>3335.4363399333142</v>
      </c>
      <c r="G19" s="5">
        <f t="shared" si="10"/>
        <v>4169.2954249166423</v>
      </c>
    </row>
    <row r="20" spans="1:10" x14ac:dyDescent="0.2">
      <c r="A20">
        <f t="shared" si="5"/>
        <v>19</v>
      </c>
      <c r="B20" s="5">
        <f t="shared" si="7"/>
        <v>150094.63529699913</v>
      </c>
      <c r="C20" s="5">
        <f t="shared" si="0"/>
        <v>15009.463529699913</v>
      </c>
      <c r="D20" s="5">
        <f t="shared" si="8"/>
        <v>135085.17176729921</v>
      </c>
      <c r="E20" s="3">
        <f t="shared" si="2"/>
        <v>6754.2585883649608</v>
      </c>
      <c r="F20" s="5">
        <f t="shared" si="9"/>
        <v>3001.8927059399825</v>
      </c>
      <c r="G20" s="5">
        <f t="shared" si="10"/>
        <v>3752.3658824249783</v>
      </c>
      <c r="I20" t="s">
        <v>18</v>
      </c>
      <c r="J20" s="9">
        <f>J15/$B$2</f>
        <v>8.9999601327652048</v>
      </c>
    </row>
    <row r="21" spans="1:10" x14ac:dyDescent="0.2">
      <c r="A21">
        <f t="shared" si="5"/>
        <v>20</v>
      </c>
      <c r="B21" s="5">
        <f t="shared" si="7"/>
        <v>135085.17176729921</v>
      </c>
      <c r="C21" s="5">
        <f t="shared" si="0"/>
        <v>13508.517176729922</v>
      </c>
      <c r="D21" s="5">
        <f t="shared" si="8"/>
        <v>121576.65459056929</v>
      </c>
      <c r="E21" s="3">
        <f t="shared" si="2"/>
        <v>6078.8327295284653</v>
      </c>
      <c r="F21" s="5">
        <f t="shared" si="9"/>
        <v>2701.7034353459844</v>
      </c>
      <c r="G21" s="5">
        <f t="shared" si="10"/>
        <v>3377.1292941824809</v>
      </c>
    </row>
    <row r="22" spans="1:10" x14ac:dyDescent="0.2">
      <c r="A22">
        <f t="shared" si="5"/>
        <v>21</v>
      </c>
      <c r="B22" s="5">
        <f t="shared" si="7"/>
        <v>121576.65459056929</v>
      </c>
      <c r="C22" s="5">
        <f t="shared" si="0"/>
        <v>12157.665459056931</v>
      </c>
      <c r="D22" s="5">
        <f t="shared" si="8"/>
        <v>109418.98913151235</v>
      </c>
      <c r="E22" s="3">
        <f t="shared" si="2"/>
        <v>5470.9494565756177</v>
      </c>
      <c r="F22" s="5">
        <f t="shared" si="9"/>
        <v>2431.5330918113859</v>
      </c>
      <c r="G22" s="5">
        <f t="shared" si="10"/>
        <v>3039.4163647642317</v>
      </c>
    </row>
    <row r="23" spans="1:10" x14ac:dyDescent="0.2">
      <c r="A23">
        <f t="shared" si="5"/>
        <v>22</v>
      </c>
      <c r="B23" s="5">
        <f t="shared" si="7"/>
        <v>109418.98913151235</v>
      </c>
      <c r="C23" s="5">
        <f t="shared" si="0"/>
        <v>10941.898913151235</v>
      </c>
      <c r="D23" s="5">
        <f t="shared" si="8"/>
        <v>98477.090218361118</v>
      </c>
      <c r="E23" s="3">
        <f t="shared" si="2"/>
        <v>4923.8545109180559</v>
      </c>
      <c r="F23" s="5">
        <f t="shared" si="9"/>
        <v>2188.3797826302471</v>
      </c>
      <c r="G23" s="5">
        <f t="shared" si="10"/>
        <v>2735.4747282878088</v>
      </c>
    </row>
    <row r="24" spans="1:10" x14ac:dyDescent="0.2">
      <c r="A24">
        <f t="shared" si="5"/>
        <v>23</v>
      </c>
      <c r="B24" s="5">
        <f t="shared" si="7"/>
        <v>98477.090218361118</v>
      </c>
      <c r="C24" s="5">
        <f t="shared" si="0"/>
        <v>9847.7090218361118</v>
      </c>
      <c r="D24" s="5">
        <f t="shared" si="8"/>
        <v>88629.381196525006</v>
      </c>
      <c r="E24" s="3">
        <f t="shared" si="2"/>
        <v>4431.4690598262505</v>
      </c>
      <c r="F24" s="5">
        <f t="shared" si="9"/>
        <v>1969.5418043672223</v>
      </c>
      <c r="G24" s="5">
        <f t="shared" si="10"/>
        <v>2461.9272554590279</v>
      </c>
    </row>
    <row r="25" spans="1:10" x14ac:dyDescent="0.2">
      <c r="A25">
        <f t="shared" si="5"/>
        <v>24</v>
      </c>
      <c r="B25" s="5">
        <f t="shared" ref="B25:B28" si="11">D24</f>
        <v>88629.381196525006</v>
      </c>
      <c r="C25" s="5">
        <f t="shared" si="0"/>
        <v>8862.938119652501</v>
      </c>
      <c r="D25" s="5">
        <f t="shared" ref="D25:D27" si="12">B25-C25</f>
        <v>79766.4430768725</v>
      </c>
      <c r="E25" s="3">
        <f t="shared" si="2"/>
        <v>3988.3221538436251</v>
      </c>
      <c r="F25" s="5">
        <f t="shared" ref="F25:F27" si="13">B25*$J$3</f>
        <v>1772.5876239305001</v>
      </c>
      <c r="G25" s="5">
        <f t="shared" ref="G25:G27" si="14">E25-F25</f>
        <v>2215.7345299131248</v>
      </c>
    </row>
    <row r="26" spans="1:10" x14ac:dyDescent="0.2">
      <c r="A26">
        <f t="shared" si="5"/>
        <v>25</v>
      </c>
      <c r="B26" s="5">
        <f t="shared" si="11"/>
        <v>79766.4430768725</v>
      </c>
      <c r="C26" s="5">
        <f t="shared" si="0"/>
        <v>7976.6443076872501</v>
      </c>
      <c r="D26" s="5">
        <f t="shared" si="12"/>
        <v>71789.798769185247</v>
      </c>
      <c r="E26" s="3">
        <f t="shared" si="2"/>
        <v>3589.4899384592627</v>
      </c>
      <c r="F26" s="5">
        <f t="shared" si="13"/>
        <v>1595.3288615374499</v>
      </c>
      <c r="G26" s="5">
        <f t="shared" si="14"/>
        <v>1994.1610769218128</v>
      </c>
    </row>
    <row r="27" spans="1:10" x14ac:dyDescent="0.2">
      <c r="A27">
        <f t="shared" si="5"/>
        <v>26</v>
      </c>
      <c r="B27" s="5">
        <f t="shared" si="11"/>
        <v>71789.798769185247</v>
      </c>
      <c r="C27" s="5">
        <f t="shared" si="0"/>
        <v>7178.9798769185254</v>
      </c>
      <c r="D27" s="5">
        <f t="shared" si="12"/>
        <v>64610.818892266718</v>
      </c>
      <c r="E27" s="3">
        <f t="shared" si="2"/>
        <v>3230.5409446133363</v>
      </c>
      <c r="F27" s="5">
        <f t="shared" si="13"/>
        <v>1435.7959753837049</v>
      </c>
      <c r="G27" s="5">
        <f t="shared" si="14"/>
        <v>1794.7449692296314</v>
      </c>
    </row>
    <row r="28" spans="1:10" x14ac:dyDescent="0.2">
      <c r="A28">
        <f t="shared" si="5"/>
        <v>27</v>
      </c>
      <c r="B28" s="5">
        <f t="shared" si="11"/>
        <v>64610.818892266718</v>
      </c>
      <c r="C28" s="5">
        <f t="shared" si="0"/>
        <v>6461.0818892266725</v>
      </c>
      <c r="D28" s="5">
        <f t="shared" ref="D28" si="15">B28-C28</f>
        <v>58149.737003040049</v>
      </c>
      <c r="E28" s="3">
        <f t="shared" si="2"/>
        <v>2907.4868501520027</v>
      </c>
      <c r="F28" s="5">
        <f t="shared" ref="F28" si="16">B28*$J$3</f>
        <v>1292.2163778453344</v>
      </c>
      <c r="G28" s="5">
        <f t="shared" ref="G28" si="17">E28-F28</f>
        <v>1615.2704723066684</v>
      </c>
    </row>
    <row r="29" spans="1:10" x14ac:dyDescent="0.2">
      <c r="A29">
        <f t="shared" ref="A29:A32" si="18">+A28+1</f>
        <v>28</v>
      </c>
      <c r="B29" s="5">
        <f t="shared" ref="B29:B32" si="19">D28</f>
        <v>58149.737003040049</v>
      </c>
      <c r="C29" s="5">
        <f t="shared" si="0"/>
        <v>5814.9737003040054</v>
      </c>
      <c r="D29" s="5">
        <f t="shared" ref="D29:D32" si="20">B29-C29</f>
        <v>52334.763302736043</v>
      </c>
      <c r="E29" s="3">
        <f t="shared" si="2"/>
        <v>2616.7381651368023</v>
      </c>
      <c r="F29" s="5">
        <f t="shared" ref="F29:F32" si="21">B29*$J$3</f>
        <v>1162.994740060801</v>
      </c>
      <c r="G29" s="5">
        <f t="shared" ref="G29:G32" si="22">E29-F29</f>
        <v>1453.7434250760014</v>
      </c>
    </row>
    <row r="30" spans="1:10" x14ac:dyDescent="0.2">
      <c r="A30">
        <f t="shared" si="18"/>
        <v>29</v>
      </c>
      <c r="B30" s="5">
        <f t="shared" si="19"/>
        <v>52334.763302736043</v>
      </c>
      <c r="C30" s="5">
        <f t="shared" si="0"/>
        <v>5233.4763302736046</v>
      </c>
      <c r="D30" s="5">
        <f t="shared" si="20"/>
        <v>47101.28697246244</v>
      </c>
      <c r="E30" s="3">
        <f t="shared" si="2"/>
        <v>2355.064348623122</v>
      </c>
      <c r="F30" s="5">
        <f t="shared" si="21"/>
        <v>1046.6952660547208</v>
      </c>
      <c r="G30" s="5">
        <f t="shared" si="22"/>
        <v>1308.3690825684012</v>
      </c>
    </row>
    <row r="31" spans="1:10" x14ac:dyDescent="0.2">
      <c r="A31">
        <f t="shared" si="18"/>
        <v>30</v>
      </c>
      <c r="B31" s="5">
        <f t="shared" si="19"/>
        <v>47101.28697246244</v>
      </c>
      <c r="C31" s="5">
        <f t="shared" si="0"/>
        <v>4710.128697246244</v>
      </c>
      <c r="D31" s="5">
        <f t="shared" si="20"/>
        <v>42391.158275216192</v>
      </c>
      <c r="E31" s="3">
        <f t="shared" si="2"/>
        <v>2119.5579137608097</v>
      </c>
      <c r="F31" s="5">
        <f t="shared" si="21"/>
        <v>942.02573944924882</v>
      </c>
      <c r="G31" s="5">
        <f t="shared" si="22"/>
        <v>1177.532174311561</v>
      </c>
    </row>
    <row r="32" spans="1:10" x14ac:dyDescent="0.2">
      <c r="A32">
        <f t="shared" si="18"/>
        <v>31</v>
      </c>
      <c r="B32" s="5">
        <f t="shared" si="19"/>
        <v>42391.158275216192</v>
      </c>
      <c r="C32" s="5">
        <f t="shared" si="0"/>
        <v>4239.1158275216194</v>
      </c>
      <c r="D32" s="5">
        <f t="shared" si="20"/>
        <v>38152.04244769457</v>
      </c>
      <c r="E32" s="3">
        <f t="shared" si="2"/>
        <v>1907.6021223847285</v>
      </c>
      <c r="F32" s="5">
        <f t="shared" si="21"/>
        <v>847.82316550432381</v>
      </c>
      <c r="G32" s="5">
        <f t="shared" si="22"/>
        <v>1059.7789568804046</v>
      </c>
    </row>
    <row r="33" spans="1:7" x14ac:dyDescent="0.2">
      <c r="A33">
        <f t="shared" ref="A33:A35" si="23">+A32+1</f>
        <v>32</v>
      </c>
      <c r="B33" s="5">
        <f t="shared" ref="B33:B35" si="24">D32</f>
        <v>38152.04244769457</v>
      </c>
      <c r="C33" s="5">
        <f t="shared" si="0"/>
        <v>3815.2042447694571</v>
      </c>
      <c r="D33" s="5">
        <f t="shared" ref="D33:D35" si="25">B33-C33</f>
        <v>34336.838202925115</v>
      </c>
      <c r="E33" s="3">
        <f t="shared" si="2"/>
        <v>1716.8419101462559</v>
      </c>
      <c r="F33" s="5">
        <f t="shared" ref="F33:F35" si="26">B33*$J$3</f>
        <v>763.04084895389144</v>
      </c>
      <c r="G33" s="5">
        <f t="shared" ref="G33:G35" si="27">E33-F33</f>
        <v>953.8010611923645</v>
      </c>
    </row>
    <row r="34" spans="1:7" x14ac:dyDescent="0.2">
      <c r="A34">
        <f t="shared" si="23"/>
        <v>33</v>
      </c>
      <c r="B34" s="5">
        <f t="shared" si="24"/>
        <v>34336.838202925115</v>
      </c>
      <c r="C34" s="5">
        <f t="shared" si="0"/>
        <v>3433.6838202925119</v>
      </c>
      <c r="D34" s="5">
        <f t="shared" si="25"/>
        <v>30903.154382632601</v>
      </c>
      <c r="E34" s="3">
        <f t="shared" si="2"/>
        <v>1545.1577191316301</v>
      </c>
      <c r="F34" s="5">
        <f t="shared" si="26"/>
        <v>686.73676405850233</v>
      </c>
      <c r="G34" s="5">
        <f t="shared" si="27"/>
        <v>858.42095507312774</v>
      </c>
    </row>
    <row r="35" spans="1:7" x14ac:dyDescent="0.2">
      <c r="A35">
        <f t="shared" si="23"/>
        <v>34</v>
      </c>
      <c r="B35" s="5">
        <f t="shared" si="24"/>
        <v>30903.154382632601</v>
      </c>
      <c r="C35" s="5">
        <f t="shared" si="0"/>
        <v>3090.3154382632601</v>
      </c>
      <c r="D35" s="5">
        <f t="shared" si="25"/>
        <v>27812.838944369341</v>
      </c>
      <c r="E35" s="3">
        <f t="shared" si="2"/>
        <v>1390.6419472184671</v>
      </c>
      <c r="F35" s="5">
        <f t="shared" si="26"/>
        <v>618.06308765265203</v>
      </c>
      <c r="G35" s="5">
        <f t="shared" si="27"/>
        <v>772.57885956581504</v>
      </c>
    </row>
    <row r="36" spans="1:7" x14ac:dyDescent="0.2">
      <c r="A36">
        <f t="shared" ref="A36:A99" si="28">+A35+1</f>
        <v>35</v>
      </c>
      <c r="B36" s="5">
        <f t="shared" ref="B36:B99" si="29">D35</f>
        <v>27812.838944369341</v>
      </c>
      <c r="C36" s="5">
        <f t="shared" si="0"/>
        <v>2781.2838944369341</v>
      </c>
      <c r="D36" s="5">
        <f t="shared" ref="D36:D99" si="30">B36-C36</f>
        <v>25031.555049932409</v>
      </c>
      <c r="E36" s="3">
        <f t="shared" si="2"/>
        <v>1251.5777524966206</v>
      </c>
      <c r="F36" s="5">
        <f t="shared" ref="F36:F99" si="31">B36*$J$3</f>
        <v>556.25677888738687</v>
      </c>
      <c r="G36" s="5">
        <f t="shared" ref="G36:G99" si="32">E36-F36</f>
        <v>695.32097360923376</v>
      </c>
    </row>
    <row r="37" spans="1:7" x14ac:dyDescent="0.2">
      <c r="A37">
        <f t="shared" si="28"/>
        <v>36</v>
      </c>
      <c r="B37" s="5">
        <f t="shared" si="29"/>
        <v>25031.555049932409</v>
      </c>
      <c r="C37" s="5">
        <f t="shared" si="0"/>
        <v>2503.1555049932413</v>
      </c>
      <c r="D37" s="5">
        <f t="shared" si="30"/>
        <v>22528.399544939166</v>
      </c>
      <c r="E37" s="3">
        <f t="shared" si="2"/>
        <v>1126.4199772469583</v>
      </c>
      <c r="F37" s="5">
        <f t="shared" si="31"/>
        <v>500.63110099864821</v>
      </c>
      <c r="G37" s="5">
        <f t="shared" si="32"/>
        <v>625.78887624831009</v>
      </c>
    </row>
    <row r="38" spans="1:7" x14ac:dyDescent="0.2">
      <c r="A38">
        <f t="shared" si="28"/>
        <v>37</v>
      </c>
      <c r="B38" s="5">
        <f t="shared" si="29"/>
        <v>22528.399544939166</v>
      </c>
      <c r="C38" s="5">
        <f t="shared" si="0"/>
        <v>2252.8399544939166</v>
      </c>
      <c r="D38" s="5">
        <f t="shared" si="30"/>
        <v>20275.559590445249</v>
      </c>
      <c r="E38" s="3">
        <f t="shared" si="2"/>
        <v>1013.7779795222625</v>
      </c>
      <c r="F38" s="5">
        <f t="shared" si="31"/>
        <v>450.56799089878331</v>
      </c>
      <c r="G38" s="5">
        <f t="shared" si="32"/>
        <v>563.20998862347915</v>
      </c>
    </row>
    <row r="39" spans="1:7" x14ac:dyDescent="0.2">
      <c r="A39">
        <f t="shared" si="28"/>
        <v>38</v>
      </c>
      <c r="B39" s="5">
        <f t="shared" si="29"/>
        <v>20275.559590445249</v>
      </c>
      <c r="C39" s="5">
        <f t="shared" si="0"/>
        <v>2027.555959044525</v>
      </c>
      <c r="D39" s="5">
        <f t="shared" si="30"/>
        <v>18248.003631400723</v>
      </c>
      <c r="E39" s="3">
        <f t="shared" si="2"/>
        <v>912.40018157003624</v>
      </c>
      <c r="F39" s="5">
        <f t="shared" si="31"/>
        <v>405.51119180890498</v>
      </c>
      <c r="G39" s="5">
        <f t="shared" si="32"/>
        <v>506.88898976113126</v>
      </c>
    </row>
    <row r="40" spans="1:7" x14ac:dyDescent="0.2">
      <c r="A40">
        <f t="shared" si="28"/>
        <v>39</v>
      </c>
      <c r="B40" s="5">
        <f t="shared" si="29"/>
        <v>18248.003631400723</v>
      </c>
      <c r="C40" s="5">
        <f t="shared" si="0"/>
        <v>1824.8003631400725</v>
      </c>
      <c r="D40" s="5">
        <f t="shared" si="30"/>
        <v>16423.203268260651</v>
      </c>
      <c r="E40" s="3">
        <f t="shared" si="2"/>
        <v>821.16016341303259</v>
      </c>
      <c r="F40" s="5">
        <f t="shared" si="31"/>
        <v>364.96007262801447</v>
      </c>
      <c r="G40" s="5">
        <f t="shared" si="32"/>
        <v>456.20009078501812</v>
      </c>
    </row>
    <row r="41" spans="1:7" x14ac:dyDescent="0.2">
      <c r="A41">
        <f t="shared" si="28"/>
        <v>40</v>
      </c>
      <c r="B41" s="5">
        <f t="shared" si="29"/>
        <v>16423.203268260651</v>
      </c>
      <c r="C41" s="5">
        <f t="shared" si="0"/>
        <v>1642.3203268260652</v>
      </c>
      <c r="D41" s="5">
        <f t="shared" si="30"/>
        <v>14780.882941434586</v>
      </c>
      <c r="E41" s="3">
        <f t="shared" si="2"/>
        <v>739.0441470717293</v>
      </c>
      <c r="F41" s="5">
        <f t="shared" si="31"/>
        <v>328.46406536521306</v>
      </c>
      <c r="G41" s="5">
        <f t="shared" si="32"/>
        <v>410.58008170651624</v>
      </c>
    </row>
    <row r="42" spans="1:7" x14ac:dyDescent="0.2">
      <c r="A42">
        <f t="shared" si="28"/>
        <v>41</v>
      </c>
      <c r="B42" s="5">
        <f t="shared" si="29"/>
        <v>14780.882941434586</v>
      </c>
      <c r="C42" s="5">
        <f t="shared" si="0"/>
        <v>1478.0882941434586</v>
      </c>
      <c r="D42" s="5">
        <f t="shared" si="30"/>
        <v>13302.794647291126</v>
      </c>
      <c r="E42" s="3">
        <f t="shared" si="2"/>
        <v>665.13973236455638</v>
      </c>
      <c r="F42" s="5">
        <f t="shared" si="31"/>
        <v>295.61765882869173</v>
      </c>
      <c r="G42" s="5">
        <f t="shared" si="32"/>
        <v>369.52207353586465</v>
      </c>
    </row>
    <row r="43" spans="1:7" x14ac:dyDescent="0.2">
      <c r="A43">
        <f t="shared" si="28"/>
        <v>42</v>
      </c>
      <c r="B43" s="5">
        <f t="shared" si="29"/>
        <v>13302.794647291126</v>
      </c>
      <c r="C43" s="5">
        <f t="shared" si="0"/>
        <v>1330.2794647291128</v>
      </c>
      <c r="D43" s="5">
        <f t="shared" si="30"/>
        <v>11972.515182562014</v>
      </c>
      <c r="E43" s="3">
        <f t="shared" si="2"/>
        <v>598.62575912810075</v>
      </c>
      <c r="F43" s="5">
        <f t="shared" si="31"/>
        <v>266.05589294582251</v>
      </c>
      <c r="G43" s="5">
        <f t="shared" si="32"/>
        <v>332.56986618227825</v>
      </c>
    </row>
    <row r="44" spans="1:7" x14ac:dyDescent="0.2">
      <c r="A44">
        <f t="shared" si="28"/>
        <v>43</v>
      </c>
      <c r="B44" s="5">
        <f t="shared" si="29"/>
        <v>11972.515182562014</v>
      </c>
      <c r="C44" s="5">
        <f t="shared" si="0"/>
        <v>1197.2515182562015</v>
      </c>
      <c r="D44" s="5">
        <f t="shared" si="30"/>
        <v>10775.263664305812</v>
      </c>
      <c r="E44" s="3">
        <f t="shared" si="2"/>
        <v>538.76318321529061</v>
      </c>
      <c r="F44" s="5">
        <f t="shared" si="31"/>
        <v>239.45030365124029</v>
      </c>
      <c r="G44" s="5">
        <f t="shared" si="32"/>
        <v>299.31287956405032</v>
      </c>
    </row>
    <row r="45" spans="1:7" x14ac:dyDescent="0.2">
      <c r="A45">
        <f t="shared" si="28"/>
        <v>44</v>
      </c>
      <c r="B45" s="5">
        <f t="shared" si="29"/>
        <v>10775.263664305812</v>
      </c>
      <c r="C45" s="5">
        <f t="shared" si="0"/>
        <v>1077.5263664305812</v>
      </c>
      <c r="D45" s="5">
        <f t="shared" si="30"/>
        <v>9697.7372978752319</v>
      </c>
      <c r="E45" s="3">
        <f t="shared" si="2"/>
        <v>484.88686489376164</v>
      </c>
      <c r="F45" s="5">
        <f t="shared" si="31"/>
        <v>215.50527328611625</v>
      </c>
      <c r="G45" s="5">
        <f t="shared" si="32"/>
        <v>269.38159160764542</v>
      </c>
    </row>
    <row r="46" spans="1:7" x14ac:dyDescent="0.2">
      <c r="A46">
        <f t="shared" si="28"/>
        <v>45</v>
      </c>
      <c r="B46" s="5">
        <f t="shared" si="29"/>
        <v>9697.7372978752319</v>
      </c>
      <c r="C46" s="5">
        <f t="shared" si="0"/>
        <v>969.77372978752328</v>
      </c>
      <c r="D46" s="5">
        <f t="shared" si="30"/>
        <v>8727.9635680877091</v>
      </c>
      <c r="E46" s="3">
        <f t="shared" si="2"/>
        <v>436.39817840438548</v>
      </c>
      <c r="F46" s="5">
        <f t="shared" si="31"/>
        <v>193.95474595750466</v>
      </c>
      <c r="G46" s="5">
        <f t="shared" si="32"/>
        <v>242.44343244688082</v>
      </c>
    </row>
    <row r="47" spans="1:7" x14ac:dyDescent="0.2">
      <c r="A47">
        <f t="shared" si="28"/>
        <v>46</v>
      </c>
      <c r="B47" s="5">
        <f t="shared" si="29"/>
        <v>8727.9635680877091</v>
      </c>
      <c r="C47" s="5">
        <f t="shared" si="0"/>
        <v>872.79635680877095</v>
      </c>
      <c r="D47" s="5">
        <f t="shared" si="30"/>
        <v>7855.1672112789383</v>
      </c>
      <c r="E47" s="3">
        <f t="shared" si="2"/>
        <v>392.75836056394695</v>
      </c>
      <c r="F47" s="5">
        <f t="shared" si="31"/>
        <v>174.55927136175418</v>
      </c>
      <c r="G47" s="5">
        <f t="shared" si="32"/>
        <v>218.19908920219277</v>
      </c>
    </row>
    <row r="48" spans="1:7" x14ac:dyDescent="0.2">
      <c r="A48">
        <f t="shared" si="28"/>
        <v>47</v>
      </c>
      <c r="B48" s="5">
        <f t="shared" si="29"/>
        <v>7855.1672112789383</v>
      </c>
      <c r="C48" s="5">
        <f t="shared" si="0"/>
        <v>785.5167211278939</v>
      </c>
      <c r="D48" s="5">
        <f t="shared" si="30"/>
        <v>7069.6504901510443</v>
      </c>
      <c r="E48" s="3">
        <f t="shared" si="2"/>
        <v>353.48252450755223</v>
      </c>
      <c r="F48" s="5">
        <f t="shared" si="31"/>
        <v>157.10334422557878</v>
      </c>
      <c r="G48" s="5">
        <f t="shared" si="32"/>
        <v>196.37918028197345</v>
      </c>
    </row>
    <row r="49" spans="1:7" x14ac:dyDescent="0.2">
      <c r="A49">
        <f t="shared" si="28"/>
        <v>48</v>
      </c>
      <c r="B49" s="5">
        <f t="shared" si="29"/>
        <v>7069.6504901510443</v>
      </c>
      <c r="C49" s="5">
        <f t="shared" si="0"/>
        <v>706.96504901510446</v>
      </c>
      <c r="D49" s="5">
        <f t="shared" si="30"/>
        <v>6362.68544113594</v>
      </c>
      <c r="E49" s="3">
        <f t="shared" si="2"/>
        <v>318.13427205679704</v>
      </c>
      <c r="F49" s="5">
        <f t="shared" si="31"/>
        <v>141.3930098030209</v>
      </c>
      <c r="G49" s="5">
        <f t="shared" si="32"/>
        <v>176.74126225377614</v>
      </c>
    </row>
    <row r="50" spans="1:7" x14ac:dyDescent="0.2">
      <c r="A50">
        <f t="shared" si="28"/>
        <v>49</v>
      </c>
      <c r="B50" s="5">
        <f t="shared" si="29"/>
        <v>6362.68544113594</v>
      </c>
      <c r="C50" s="5">
        <f t="shared" si="0"/>
        <v>636.26854411359409</v>
      </c>
      <c r="D50" s="5">
        <f t="shared" si="30"/>
        <v>5726.4168970223454</v>
      </c>
      <c r="E50" s="3">
        <f t="shared" si="2"/>
        <v>286.32084485111727</v>
      </c>
      <c r="F50" s="5">
        <f t="shared" si="31"/>
        <v>127.25370882271881</v>
      </c>
      <c r="G50" s="5">
        <f t="shared" si="32"/>
        <v>159.06713602839847</v>
      </c>
    </row>
    <row r="51" spans="1:7" x14ac:dyDescent="0.2">
      <c r="A51">
        <f t="shared" si="28"/>
        <v>50</v>
      </c>
      <c r="B51" s="5">
        <f t="shared" si="29"/>
        <v>5726.4168970223454</v>
      </c>
      <c r="C51" s="5">
        <f t="shared" si="0"/>
        <v>572.64168970223454</v>
      </c>
      <c r="D51" s="5">
        <f t="shared" si="30"/>
        <v>5153.7752073201109</v>
      </c>
      <c r="E51" s="3">
        <f t="shared" si="2"/>
        <v>257.68876036600557</v>
      </c>
      <c r="F51" s="5">
        <f t="shared" si="31"/>
        <v>114.52833794044692</v>
      </c>
      <c r="G51" s="5">
        <f t="shared" si="32"/>
        <v>143.16042242555864</v>
      </c>
    </row>
    <row r="52" spans="1:7" x14ac:dyDescent="0.2">
      <c r="A52">
        <f t="shared" si="28"/>
        <v>51</v>
      </c>
      <c r="B52" s="5">
        <f t="shared" si="29"/>
        <v>5153.7752073201109</v>
      </c>
      <c r="C52" s="5">
        <f t="shared" si="0"/>
        <v>515.37752073201113</v>
      </c>
      <c r="D52" s="5">
        <f t="shared" si="30"/>
        <v>4638.3976865880995</v>
      </c>
      <c r="E52" s="3">
        <f t="shared" si="2"/>
        <v>231.91988432940499</v>
      </c>
      <c r="F52" s="5">
        <f t="shared" si="31"/>
        <v>103.07550414640222</v>
      </c>
      <c r="G52" s="5">
        <f t="shared" si="32"/>
        <v>128.84438018300278</v>
      </c>
    </row>
    <row r="53" spans="1:7" x14ac:dyDescent="0.2">
      <c r="A53">
        <f t="shared" si="28"/>
        <v>52</v>
      </c>
      <c r="B53" s="5">
        <f t="shared" si="29"/>
        <v>4638.3976865880995</v>
      </c>
      <c r="C53" s="5">
        <f t="shared" si="0"/>
        <v>463.83976865880999</v>
      </c>
      <c r="D53" s="5">
        <f t="shared" si="30"/>
        <v>4174.5579179292899</v>
      </c>
      <c r="E53" s="3">
        <f t="shared" si="2"/>
        <v>208.7278958964645</v>
      </c>
      <c r="F53" s="5">
        <f t="shared" si="31"/>
        <v>92.767953731761992</v>
      </c>
      <c r="G53" s="5">
        <f t="shared" si="32"/>
        <v>115.95994216470251</v>
      </c>
    </row>
    <row r="54" spans="1:7" x14ac:dyDescent="0.2">
      <c r="A54">
        <f t="shared" si="28"/>
        <v>53</v>
      </c>
      <c r="B54" s="5">
        <f t="shared" si="29"/>
        <v>4174.5579179292899</v>
      </c>
      <c r="C54" s="5">
        <f t="shared" si="0"/>
        <v>417.45579179292901</v>
      </c>
      <c r="D54" s="5">
        <f t="shared" si="30"/>
        <v>3757.1021261363608</v>
      </c>
      <c r="E54" s="3">
        <f t="shared" si="2"/>
        <v>187.85510630681804</v>
      </c>
      <c r="F54" s="5">
        <f t="shared" si="31"/>
        <v>83.491158358585807</v>
      </c>
      <c r="G54" s="5">
        <f t="shared" si="32"/>
        <v>104.36394794823224</v>
      </c>
    </row>
    <row r="55" spans="1:7" x14ac:dyDescent="0.2">
      <c r="A55">
        <f t="shared" si="28"/>
        <v>54</v>
      </c>
      <c r="B55" s="5">
        <f t="shared" si="29"/>
        <v>3757.1021261363608</v>
      </c>
      <c r="C55" s="5">
        <f t="shared" si="0"/>
        <v>375.71021261363609</v>
      </c>
      <c r="D55" s="5">
        <f t="shared" si="30"/>
        <v>3381.3919135227247</v>
      </c>
      <c r="E55" s="3">
        <f t="shared" si="2"/>
        <v>169.06959567613626</v>
      </c>
      <c r="F55" s="5">
        <f t="shared" si="31"/>
        <v>75.142042522727223</v>
      </c>
      <c r="G55" s="5">
        <f t="shared" si="32"/>
        <v>93.927553153409036</v>
      </c>
    </row>
    <row r="56" spans="1:7" x14ac:dyDescent="0.2">
      <c r="A56">
        <f t="shared" si="28"/>
        <v>55</v>
      </c>
      <c r="B56" s="5">
        <f t="shared" si="29"/>
        <v>3381.3919135227247</v>
      </c>
      <c r="C56" s="5">
        <f t="shared" si="0"/>
        <v>338.13919135227252</v>
      </c>
      <c r="D56" s="5">
        <f t="shared" si="30"/>
        <v>3043.2527221704522</v>
      </c>
      <c r="E56" s="3">
        <f t="shared" si="2"/>
        <v>152.16263610852261</v>
      </c>
      <c r="F56" s="5">
        <f t="shared" si="31"/>
        <v>67.62783827045449</v>
      </c>
      <c r="G56" s="5">
        <f t="shared" si="32"/>
        <v>84.534797838068116</v>
      </c>
    </row>
    <row r="57" spans="1:7" x14ac:dyDescent="0.2">
      <c r="A57">
        <f t="shared" si="28"/>
        <v>56</v>
      </c>
      <c r="B57" s="5">
        <f t="shared" si="29"/>
        <v>3043.2527221704522</v>
      </c>
      <c r="C57" s="5">
        <f t="shared" si="0"/>
        <v>304.32527221704521</v>
      </c>
      <c r="D57" s="5">
        <f t="shared" si="30"/>
        <v>2738.9274499534072</v>
      </c>
      <c r="E57" s="3">
        <f t="shared" si="2"/>
        <v>136.94637249767035</v>
      </c>
      <c r="F57" s="5">
        <f t="shared" si="31"/>
        <v>60.865054443409043</v>
      </c>
      <c r="G57" s="5">
        <f t="shared" si="32"/>
        <v>76.081318054261317</v>
      </c>
    </row>
    <row r="58" spans="1:7" x14ac:dyDescent="0.2">
      <c r="A58">
        <f t="shared" si="28"/>
        <v>57</v>
      </c>
      <c r="B58" s="5">
        <f t="shared" si="29"/>
        <v>2738.9274499534072</v>
      </c>
      <c r="C58" s="5">
        <f t="shared" si="0"/>
        <v>273.89274499534071</v>
      </c>
      <c r="D58" s="5">
        <f t="shared" si="30"/>
        <v>2465.0347049580664</v>
      </c>
      <c r="E58" s="3">
        <f t="shared" si="2"/>
        <v>123.25173524790333</v>
      </c>
      <c r="F58" s="5">
        <f t="shared" si="31"/>
        <v>54.778548999068143</v>
      </c>
      <c r="G58" s="5">
        <f t="shared" si="32"/>
        <v>68.473186248835191</v>
      </c>
    </row>
    <row r="59" spans="1:7" x14ac:dyDescent="0.2">
      <c r="A59">
        <f t="shared" si="28"/>
        <v>58</v>
      </c>
      <c r="B59" s="5">
        <f t="shared" si="29"/>
        <v>2465.0347049580664</v>
      </c>
      <c r="C59" s="5">
        <f t="shared" si="0"/>
        <v>246.50347049580665</v>
      </c>
      <c r="D59" s="5">
        <f t="shared" si="30"/>
        <v>2218.5312344622598</v>
      </c>
      <c r="E59" s="3">
        <f t="shared" si="2"/>
        <v>110.926561723113</v>
      </c>
      <c r="F59" s="5">
        <f t="shared" si="31"/>
        <v>49.300694099161326</v>
      </c>
      <c r="G59" s="5">
        <f t="shared" si="32"/>
        <v>61.62586762395167</v>
      </c>
    </row>
    <row r="60" spans="1:7" x14ac:dyDescent="0.2">
      <c r="A60">
        <f t="shared" si="28"/>
        <v>59</v>
      </c>
      <c r="B60" s="5">
        <f t="shared" si="29"/>
        <v>2218.5312344622598</v>
      </c>
      <c r="C60" s="5">
        <f t="shared" si="0"/>
        <v>221.85312344622599</v>
      </c>
      <c r="D60" s="5">
        <f t="shared" si="30"/>
        <v>1996.6781110160339</v>
      </c>
      <c r="E60" s="3">
        <f t="shared" si="2"/>
        <v>99.833905550801703</v>
      </c>
      <c r="F60" s="5">
        <f t="shared" si="31"/>
        <v>44.370624689245197</v>
      </c>
      <c r="G60" s="5">
        <f t="shared" si="32"/>
        <v>55.463280861556505</v>
      </c>
    </row>
    <row r="61" spans="1:7" x14ac:dyDescent="0.2">
      <c r="A61">
        <f t="shared" si="28"/>
        <v>60</v>
      </c>
      <c r="B61" s="5">
        <f t="shared" si="29"/>
        <v>1996.6781110160339</v>
      </c>
      <c r="C61" s="5">
        <f t="shared" si="0"/>
        <v>199.66781110160341</v>
      </c>
      <c r="D61" s="5">
        <f t="shared" si="30"/>
        <v>1797.0102999144306</v>
      </c>
      <c r="E61" s="3">
        <f t="shared" si="2"/>
        <v>89.850514995721539</v>
      </c>
      <c r="F61" s="5">
        <f t="shared" si="31"/>
        <v>39.933562220320681</v>
      </c>
      <c r="G61" s="5">
        <f t="shared" si="32"/>
        <v>49.916952775400858</v>
      </c>
    </row>
    <row r="62" spans="1:7" x14ac:dyDescent="0.2">
      <c r="A62">
        <f t="shared" si="28"/>
        <v>61</v>
      </c>
      <c r="B62" s="5">
        <f t="shared" si="29"/>
        <v>1797.0102999144306</v>
      </c>
      <c r="C62" s="5">
        <f t="shared" si="0"/>
        <v>179.70102999144308</v>
      </c>
      <c r="D62" s="5">
        <f t="shared" si="30"/>
        <v>1617.3092699229874</v>
      </c>
      <c r="E62" s="3">
        <f t="shared" si="2"/>
        <v>80.865463496149374</v>
      </c>
      <c r="F62" s="5">
        <f t="shared" si="31"/>
        <v>35.940205998288612</v>
      </c>
      <c r="G62" s="5">
        <f t="shared" si="32"/>
        <v>44.925257497860763</v>
      </c>
    </row>
    <row r="63" spans="1:7" x14ac:dyDescent="0.2">
      <c r="A63">
        <f t="shared" si="28"/>
        <v>62</v>
      </c>
      <c r="B63" s="5">
        <f t="shared" si="29"/>
        <v>1617.3092699229874</v>
      </c>
      <c r="C63" s="5">
        <f t="shared" si="0"/>
        <v>161.73092699229875</v>
      </c>
      <c r="D63" s="5">
        <f t="shared" si="30"/>
        <v>1455.5783429306887</v>
      </c>
      <c r="E63" s="3">
        <f t="shared" si="2"/>
        <v>72.77891714653444</v>
      </c>
      <c r="F63" s="5">
        <f t="shared" si="31"/>
        <v>32.346185398459745</v>
      </c>
      <c r="G63" s="5">
        <f t="shared" si="32"/>
        <v>40.432731748074694</v>
      </c>
    </row>
    <row r="64" spans="1:7" x14ac:dyDescent="0.2">
      <c r="A64">
        <f t="shared" si="28"/>
        <v>63</v>
      </c>
      <c r="B64" s="5">
        <f t="shared" si="29"/>
        <v>1455.5783429306887</v>
      </c>
      <c r="C64" s="5">
        <f t="shared" si="0"/>
        <v>145.55783429306888</v>
      </c>
      <c r="D64" s="5">
        <f t="shared" si="30"/>
        <v>1310.0205086376197</v>
      </c>
      <c r="E64" s="3">
        <f t="shared" si="2"/>
        <v>65.50102543188099</v>
      </c>
      <c r="F64" s="5">
        <f t="shared" si="31"/>
        <v>29.111566858613774</v>
      </c>
      <c r="G64" s="5">
        <f t="shared" si="32"/>
        <v>36.38945857326722</v>
      </c>
    </row>
    <row r="65" spans="1:7" x14ac:dyDescent="0.2">
      <c r="A65">
        <f t="shared" si="28"/>
        <v>64</v>
      </c>
      <c r="B65" s="5">
        <f t="shared" si="29"/>
        <v>1310.0205086376197</v>
      </c>
      <c r="C65" s="5">
        <f t="shared" si="0"/>
        <v>131.00205086376198</v>
      </c>
      <c r="D65" s="5">
        <f t="shared" si="30"/>
        <v>1179.0184577738578</v>
      </c>
      <c r="E65" s="3">
        <f t="shared" si="2"/>
        <v>58.950922888692894</v>
      </c>
      <c r="F65" s="5">
        <f t="shared" si="31"/>
        <v>26.200410172752395</v>
      </c>
      <c r="G65" s="5">
        <f t="shared" si="32"/>
        <v>32.750512715940502</v>
      </c>
    </row>
    <row r="66" spans="1:7" x14ac:dyDescent="0.2">
      <c r="A66">
        <f t="shared" si="28"/>
        <v>65</v>
      </c>
      <c r="B66" s="5">
        <f t="shared" si="29"/>
        <v>1179.0184577738578</v>
      </c>
      <c r="C66" s="5">
        <f t="shared" si="0"/>
        <v>117.90184577738579</v>
      </c>
      <c r="D66" s="5">
        <f t="shared" si="30"/>
        <v>1061.1166119964721</v>
      </c>
      <c r="E66" s="3">
        <f t="shared" si="2"/>
        <v>53.055830599823608</v>
      </c>
      <c r="F66" s="5">
        <f t="shared" si="31"/>
        <v>23.580369155477158</v>
      </c>
      <c r="G66" s="5">
        <f t="shared" si="32"/>
        <v>29.47546144434645</v>
      </c>
    </row>
    <row r="67" spans="1:7" x14ac:dyDescent="0.2">
      <c r="A67">
        <f t="shared" si="28"/>
        <v>66</v>
      </c>
      <c r="B67" s="5">
        <f t="shared" si="29"/>
        <v>1061.1166119964721</v>
      </c>
      <c r="C67" s="5">
        <f t="shared" ref="C67:C118" si="33">B67*$J$2</f>
        <v>106.11166119964722</v>
      </c>
      <c r="D67" s="5">
        <f t="shared" si="30"/>
        <v>955.00495079682491</v>
      </c>
      <c r="E67" s="3">
        <f t="shared" ref="E67:E118" si="34">+D67*$J$4</f>
        <v>47.750247539841247</v>
      </c>
      <c r="F67" s="5">
        <f t="shared" si="31"/>
        <v>21.222332239929443</v>
      </c>
      <c r="G67" s="5">
        <f t="shared" si="32"/>
        <v>26.527915299911804</v>
      </c>
    </row>
    <row r="68" spans="1:7" x14ac:dyDescent="0.2">
      <c r="A68">
        <f t="shared" si="28"/>
        <v>67</v>
      </c>
      <c r="B68" s="5">
        <f t="shared" si="29"/>
        <v>955.00495079682491</v>
      </c>
      <c r="C68" s="5">
        <f t="shared" si="33"/>
        <v>95.500495079682494</v>
      </c>
      <c r="D68" s="5">
        <f t="shared" si="30"/>
        <v>859.50445571714238</v>
      </c>
      <c r="E68" s="3">
        <f t="shared" si="34"/>
        <v>42.97522278585712</v>
      </c>
      <c r="F68" s="5">
        <f t="shared" si="31"/>
        <v>19.1000990159365</v>
      </c>
      <c r="G68" s="5">
        <f t="shared" si="32"/>
        <v>23.87512376992062</v>
      </c>
    </row>
    <row r="69" spans="1:7" x14ac:dyDescent="0.2">
      <c r="A69">
        <f t="shared" si="28"/>
        <v>68</v>
      </c>
      <c r="B69" s="5">
        <f t="shared" si="29"/>
        <v>859.50445571714238</v>
      </c>
      <c r="C69" s="5">
        <f t="shared" si="33"/>
        <v>85.950445571714241</v>
      </c>
      <c r="D69" s="5">
        <f t="shared" si="30"/>
        <v>773.55401014542815</v>
      </c>
      <c r="E69" s="3">
        <f t="shared" si="34"/>
        <v>38.67770050727141</v>
      </c>
      <c r="F69" s="5">
        <f t="shared" si="31"/>
        <v>17.190089114342847</v>
      </c>
      <c r="G69" s="5">
        <f t="shared" si="32"/>
        <v>21.487611392928564</v>
      </c>
    </row>
    <row r="70" spans="1:7" x14ac:dyDescent="0.2">
      <c r="A70">
        <f t="shared" si="28"/>
        <v>69</v>
      </c>
      <c r="B70" s="5">
        <f t="shared" si="29"/>
        <v>773.55401014542815</v>
      </c>
      <c r="C70" s="5">
        <f t="shared" si="33"/>
        <v>77.355401014542821</v>
      </c>
      <c r="D70" s="5">
        <f t="shared" si="30"/>
        <v>696.1986091308853</v>
      </c>
      <c r="E70" s="3">
        <f t="shared" si="34"/>
        <v>34.809930456544265</v>
      </c>
      <c r="F70" s="5">
        <f t="shared" si="31"/>
        <v>15.471080202908563</v>
      </c>
      <c r="G70" s="5">
        <f t="shared" si="32"/>
        <v>19.338850253635702</v>
      </c>
    </row>
    <row r="71" spans="1:7" x14ac:dyDescent="0.2">
      <c r="A71">
        <f t="shared" si="28"/>
        <v>70</v>
      </c>
      <c r="B71" s="5">
        <f t="shared" si="29"/>
        <v>696.1986091308853</v>
      </c>
      <c r="C71" s="5">
        <f t="shared" si="33"/>
        <v>69.61986091308853</v>
      </c>
      <c r="D71" s="5">
        <f t="shared" si="30"/>
        <v>626.57874821779683</v>
      </c>
      <c r="E71" s="3">
        <f t="shared" si="34"/>
        <v>31.328937410889843</v>
      </c>
      <c r="F71" s="5">
        <f t="shared" si="31"/>
        <v>13.923972182617707</v>
      </c>
      <c r="G71" s="5">
        <f t="shared" si="32"/>
        <v>17.404965228272136</v>
      </c>
    </row>
    <row r="72" spans="1:7" x14ac:dyDescent="0.2">
      <c r="A72">
        <f t="shared" si="28"/>
        <v>71</v>
      </c>
      <c r="B72" s="5">
        <f t="shared" si="29"/>
        <v>626.57874821779683</v>
      </c>
      <c r="C72" s="5">
        <f t="shared" si="33"/>
        <v>62.657874821779686</v>
      </c>
      <c r="D72" s="5">
        <f t="shared" si="30"/>
        <v>563.9208733960171</v>
      </c>
      <c r="E72" s="3">
        <f t="shared" si="34"/>
        <v>28.196043669800858</v>
      </c>
      <c r="F72" s="5">
        <f t="shared" si="31"/>
        <v>12.531574964355936</v>
      </c>
      <c r="G72" s="5">
        <f t="shared" si="32"/>
        <v>15.664468705444921</v>
      </c>
    </row>
    <row r="73" spans="1:7" x14ac:dyDescent="0.2">
      <c r="A73">
        <f t="shared" si="28"/>
        <v>72</v>
      </c>
      <c r="B73" s="5">
        <f t="shared" si="29"/>
        <v>563.9208733960171</v>
      </c>
      <c r="C73" s="5">
        <f t="shared" si="33"/>
        <v>56.392087339601716</v>
      </c>
      <c r="D73" s="5">
        <f t="shared" si="30"/>
        <v>507.52878605641536</v>
      </c>
      <c r="E73" s="3">
        <f t="shared" si="34"/>
        <v>25.376439302820771</v>
      </c>
      <c r="F73" s="5">
        <f t="shared" si="31"/>
        <v>11.278417467920342</v>
      </c>
      <c r="G73" s="5">
        <f t="shared" si="32"/>
        <v>14.098021834900429</v>
      </c>
    </row>
    <row r="74" spans="1:7" x14ac:dyDescent="0.2">
      <c r="A74">
        <f t="shared" si="28"/>
        <v>73</v>
      </c>
      <c r="B74" s="5">
        <f t="shared" si="29"/>
        <v>507.52878605641536</v>
      </c>
      <c r="C74" s="5">
        <f t="shared" si="33"/>
        <v>50.752878605641541</v>
      </c>
      <c r="D74" s="5">
        <f t="shared" si="30"/>
        <v>456.77590745077384</v>
      </c>
      <c r="E74" s="3">
        <f t="shared" si="34"/>
        <v>22.838795372538694</v>
      </c>
      <c r="F74" s="5">
        <f t="shared" si="31"/>
        <v>10.150575721128307</v>
      </c>
      <c r="G74" s="5">
        <f t="shared" si="32"/>
        <v>12.688219651410387</v>
      </c>
    </row>
    <row r="75" spans="1:7" x14ac:dyDescent="0.2">
      <c r="A75">
        <f t="shared" si="28"/>
        <v>74</v>
      </c>
      <c r="B75" s="5">
        <f t="shared" si="29"/>
        <v>456.77590745077384</v>
      </c>
      <c r="C75" s="5">
        <f t="shared" si="33"/>
        <v>45.677590745077389</v>
      </c>
      <c r="D75" s="5">
        <f t="shared" si="30"/>
        <v>411.09831670569645</v>
      </c>
      <c r="E75" s="3">
        <f t="shared" si="34"/>
        <v>20.554915835284824</v>
      </c>
      <c r="F75" s="5">
        <f t="shared" si="31"/>
        <v>9.1355181490154767</v>
      </c>
      <c r="G75" s="5">
        <f t="shared" si="32"/>
        <v>11.419397686269347</v>
      </c>
    </row>
    <row r="76" spans="1:7" x14ac:dyDescent="0.2">
      <c r="A76">
        <f t="shared" si="28"/>
        <v>75</v>
      </c>
      <c r="B76" s="5">
        <f t="shared" si="29"/>
        <v>411.09831670569645</v>
      </c>
      <c r="C76" s="5">
        <f t="shared" si="33"/>
        <v>41.109831670569648</v>
      </c>
      <c r="D76" s="5">
        <f t="shared" si="30"/>
        <v>369.98848503512681</v>
      </c>
      <c r="E76" s="3">
        <f t="shared" si="34"/>
        <v>18.499424251756341</v>
      </c>
      <c r="F76" s="5">
        <f t="shared" si="31"/>
        <v>8.2219663341139295</v>
      </c>
      <c r="G76" s="5">
        <f t="shared" si="32"/>
        <v>10.277457917642412</v>
      </c>
    </row>
    <row r="77" spans="1:7" x14ac:dyDescent="0.2">
      <c r="A77">
        <f t="shared" si="28"/>
        <v>76</v>
      </c>
      <c r="B77" s="5">
        <f t="shared" si="29"/>
        <v>369.98848503512681</v>
      </c>
      <c r="C77" s="5">
        <f t="shared" si="33"/>
        <v>36.998848503512683</v>
      </c>
      <c r="D77" s="5">
        <f t="shared" si="30"/>
        <v>332.98963653161411</v>
      </c>
      <c r="E77" s="3">
        <f t="shared" si="34"/>
        <v>16.649481826580708</v>
      </c>
      <c r="F77" s="5">
        <f t="shared" si="31"/>
        <v>7.399769700702536</v>
      </c>
      <c r="G77" s="5">
        <f t="shared" si="32"/>
        <v>9.2497121258781725</v>
      </c>
    </row>
    <row r="78" spans="1:7" x14ac:dyDescent="0.2">
      <c r="A78">
        <f t="shared" si="28"/>
        <v>77</v>
      </c>
      <c r="B78" s="5">
        <f t="shared" si="29"/>
        <v>332.98963653161411</v>
      </c>
      <c r="C78" s="5">
        <f t="shared" si="33"/>
        <v>33.298963653161415</v>
      </c>
      <c r="D78" s="5">
        <f t="shared" si="30"/>
        <v>299.69067287845269</v>
      </c>
      <c r="E78" s="3">
        <f t="shared" si="34"/>
        <v>14.984533643922635</v>
      </c>
      <c r="F78" s="5">
        <f t="shared" si="31"/>
        <v>6.6597927306322822</v>
      </c>
      <c r="G78" s="5">
        <f t="shared" si="32"/>
        <v>8.324740913290352</v>
      </c>
    </row>
    <row r="79" spans="1:7" x14ac:dyDescent="0.2">
      <c r="A79">
        <f t="shared" si="28"/>
        <v>78</v>
      </c>
      <c r="B79" s="5">
        <f t="shared" si="29"/>
        <v>299.69067287845269</v>
      </c>
      <c r="C79" s="5">
        <f t="shared" si="33"/>
        <v>29.96906728784527</v>
      </c>
      <c r="D79" s="5">
        <f t="shared" si="30"/>
        <v>269.7216055906074</v>
      </c>
      <c r="E79" s="3">
        <f t="shared" si="34"/>
        <v>13.48608027953037</v>
      </c>
      <c r="F79" s="5">
        <f t="shared" si="31"/>
        <v>5.993813457569054</v>
      </c>
      <c r="G79" s="5">
        <f t="shared" si="32"/>
        <v>7.4922668219613158</v>
      </c>
    </row>
    <row r="80" spans="1:7" x14ac:dyDescent="0.2">
      <c r="A80">
        <f t="shared" si="28"/>
        <v>79</v>
      </c>
      <c r="B80" s="5">
        <f t="shared" si="29"/>
        <v>269.7216055906074</v>
      </c>
      <c r="C80" s="5">
        <f t="shared" si="33"/>
        <v>26.97216055906074</v>
      </c>
      <c r="D80" s="5">
        <f t="shared" si="30"/>
        <v>242.74944503154666</v>
      </c>
      <c r="E80" s="3">
        <f t="shared" si="34"/>
        <v>12.137472251577334</v>
      </c>
      <c r="F80" s="5">
        <f t="shared" si="31"/>
        <v>5.3944321118121481</v>
      </c>
      <c r="G80" s="5">
        <f t="shared" si="32"/>
        <v>6.7430401397651858</v>
      </c>
    </row>
    <row r="81" spans="1:7" x14ac:dyDescent="0.2">
      <c r="A81">
        <f t="shared" si="28"/>
        <v>80</v>
      </c>
      <c r="B81" s="5">
        <f t="shared" si="29"/>
        <v>242.74944503154666</v>
      </c>
      <c r="C81" s="5">
        <f t="shared" si="33"/>
        <v>24.274944503154668</v>
      </c>
      <c r="D81" s="5">
        <f t="shared" si="30"/>
        <v>218.47450052839199</v>
      </c>
      <c r="E81" s="3">
        <f t="shared" si="34"/>
        <v>10.9237250264196</v>
      </c>
      <c r="F81" s="5">
        <f t="shared" si="31"/>
        <v>4.854988900630933</v>
      </c>
      <c r="G81" s="5">
        <f t="shared" si="32"/>
        <v>6.0687361257886669</v>
      </c>
    </row>
    <row r="82" spans="1:7" x14ac:dyDescent="0.2">
      <c r="A82">
        <f t="shared" si="28"/>
        <v>81</v>
      </c>
      <c r="B82" s="5">
        <f t="shared" si="29"/>
        <v>218.47450052839199</v>
      </c>
      <c r="C82" s="5">
        <f t="shared" si="33"/>
        <v>21.8474500528392</v>
      </c>
      <c r="D82" s="5">
        <f t="shared" si="30"/>
        <v>196.62705047555278</v>
      </c>
      <c r="E82" s="3">
        <f t="shared" si="34"/>
        <v>9.8313525237776389</v>
      </c>
      <c r="F82" s="5">
        <f t="shared" si="31"/>
        <v>4.3694900105678398</v>
      </c>
      <c r="G82" s="5">
        <f t="shared" si="32"/>
        <v>5.4618625132097991</v>
      </c>
    </row>
    <row r="83" spans="1:7" x14ac:dyDescent="0.2">
      <c r="A83">
        <f t="shared" si="28"/>
        <v>82</v>
      </c>
      <c r="B83" s="5">
        <f t="shared" si="29"/>
        <v>196.62705047555278</v>
      </c>
      <c r="C83" s="5">
        <f t="shared" si="33"/>
        <v>19.662705047555278</v>
      </c>
      <c r="D83" s="5">
        <f t="shared" si="30"/>
        <v>176.9643454279975</v>
      </c>
      <c r="E83" s="3">
        <f t="shared" si="34"/>
        <v>8.848217271399875</v>
      </c>
      <c r="F83" s="5">
        <f t="shared" si="31"/>
        <v>3.9325410095110556</v>
      </c>
      <c r="G83" s="5">
        <f t="shared" si="32"/>
        <v>4.9156762618888195</v>
      </c>
    </row>
    <row r="84" spans="1:7" x14ac:dyDescent="0.2">
      <c r="A84">
        <f t="shared" si="28"/>
        <v>83</v>
      </c>
      <c r="B84" s="5">
        <f t="shared" si="29"/>
        <v>176.9643454279975</v>
      </c>
      <c r="C84" s="5">
        <f t="shared" si="33"/>
        <v>17.69643454279975</v>
      </c>
      <c r="D84" s="5">
        <f t="shared" si="30"/>
        <v>159.26791088519775</v>
      </c>
      <c r="E84" s="3">
        <f t="shared" si="34"/>
        <v>7.963395544259888</v>
      </c>
      <c r="F84" s="5">
        <f t="shared" si="31"/>
        <v>3.5392869085599501</v>
      </c>
      <c r="G84" s="5">
        <f t="shared" si="32"/>
        <v>4.4241086356999375</v>
      </c>
    </row>
    <row r="85" spans="1:7" x14ac:dyDescent="0.2">
      <c r="A85">
        <f t="shared" si="28"/>
        <v>84</v>
      </c>
      <c r="B85" s="5">
        <f t="shared" si="29"/>
        <v>159.26791088519775</v>
      </c>
      <c r="C85" s="5">
        <f t="shared" si="33"/>
        <v>15.926791088519776</v>
      </c>
      <c r="D85" s="5">
        <f t="shared" si="30"/>
        <v>143.34111979667799</v>
      </c>
      <c r="E85" s="3">
        <f t="shared" si="34"/>
        <v>7.1670559898338997</v>
      </c>
      <c r="F85" s="5">
        <f t="shared" si="31"/>
        <v>3.1853582177039552</v>
      </c>
      <c r="G85" s="5">
        <f t="shared" si="32"/>
        <v>3.9816977721299445</v>
      </c>
    </row>
    <row r="86" spans="1:7" x14ac:dyDescent="0.2">
      <c r="A86">
        <f t="shared" si="28"/>
        <v>85</v>
      </c>
      <c r="B86" s="5">
        <f t="shared" si="29"/>
        <v>143.34111979667799</v>
      </c>
      <c r="C86" s="5">
        <f t="shared" si="33"/>
        <v>14.334111979667799</v>
      </c>
      <c r="D86" s="5">
        <f t="shared" si="30"/>
        <v>129.00700781701019</v>
      </c>
      <c r="E86" s="3">
        <f t="shared" si="34"/>
        <v>6.4503503908505095</v>
      </c>
      <c r="F86" s="5">
        <f t="shared" si="31"/>
        <v>2.8668223959335597</v>
      </c>
      <c r="G86" s="5">
        <f t="shared" si="32"/>
        <v>3.5835279949169498</v>
      </c>
    </row>
    <row r="87" spans="1:7" x14ac:dyDescent="0.2">
      <c r="A87">
        <f t="shared" si="28"/>
        <v>86</v>
      </c>
      <c r="B87" s="5">
        <f t="shared" si="29"/>
        <v>129.00700781701019</v>
      </c>
      <c r="C87" s="5">
        <f t="shared" si="33"/>
        <v>12.900700781701019</v>
      </c>
      <c r="D87" s="5">
        <f t="shared" si="30"/>
        <v>116.10630703530917</v>
      </c>
      <c r="E87" s="3">
        <f t="shared" si="34"/>
        <v>5.8053153517654588</v>
      </c>
      <c r="F87" s="5">
        <f t="shared" si="31"/>
        <v>2.580140156340204</v>
      </c>
      <c r="G87" s="5">
        <f t="shared" si="32"/>
        <v>3.2251751954252548</v>
      </c>
    </row>
    <row r="88" spans="1:7" x14ac:dyDescent="0.2">
      <c r="A88">
        <f t="shared" si="28"/>
        <v>87</v>
      </c>
      <c r="B88" s="5">
        <f t="shared" si="29"/>
        <v>116.10630703530917</v>
      </c>
      <c r="C88" s="5">
        <f t="shared" si="33"/>
        <v>11.610630703530918</v>
      </c>
      <c r="D88" s="5">
        <f t="shared" si="30"/>
        <v>104.49567633177826</v>
      </c>
      <c r="E88" s="3">
        <f t="shared" si="34"/>
        <v>5.2247838165889133</v>
      </c>
      <c r="F88" s="5">
        <f t="shared" si="31"/>
        <v>2.3221261407061835</v>
      </c>
      <c r="G88" s="5">
        <f t="shared" si="32"/>
        <v>2.9026576758827298</v>
      </c>
    </row>
    <row r="89" spans="1:7" x14ac:dyDescent="0.2">
      <c r="A89">
        <f t="shared" si="28"/>
        <v>88</v>
      </c>
      <c r="B89" s="5">
        <f t="shared" si="29"/>
        <v>104.49567633177826</v>
      </c>
      <c r="C89" s="5">
        <f t="shared" si="33"/>
        <v>10.449567633177827</v>
      </c>
      <c r="D89" s="5">
        <f t="shared" si="30"/>
        <v>94.046108698600435</v>
      </c>
      <c r="E89" s="3">
        <f t="shared" si="34"/>
        <v>4.7023054349300217</v>
      </c>
      <c r="F89" s="5">
        <f t="shared" si="31"/>
        <v>2.0899135266355651</v>
      </c>
      <c r="G89" s="5">
        <f t="shared" si="32"/>
        <v>2.6123919082944567</v>
      </c>
    </row>
    <row r="90" spans="1:7" x14ac:dyDescent="0.2">
      <c r="A90">
        <f t="shared" si="28"/>
        <v>89</v>
      </c>
      <c r="B90" s="5">
        <f t="shared" si="29"/>
        <v>94.046108698600435</v>
      </c>
      <c r="C90" s="5">
        <f t="shared" si="33"/>
        <v>9.4046108698600435</v>
      </c>
      <c r="D90" s="5">
        <f t="shared" si="30"/>
        <v>84.641497828740398</v>
      </c>
      <c r="E90" s="3">
        <f t="shared" si="34"/>
        <v>4.2320748914370201</v>
      </c>
      <c r="F90" s="5">
        <f t="shared" si="31"/>
        <v>1.8809221739720088</v>
      </c>
      <c r="G90" s="5">
        <f t="shared" si="32"/>
        <v>2.3511527174650113</v>
      </c>
    </row>
    <row r="91" spans="1:7" x14ac:dyDescent="0.2">
      <c r="A91">
        <f t="shared" si="28"/>
        <v>90</v>
      </c>
      <c r="B91" s="5">
        <f t="shared" si="29"/>
        <v>84.641497828740398</v>
      </c>
      <c r="C91" s="5">
        <f t="shared" si="33"/>
        <v>8.4641497828740402</v>
      </c>
      <c r="D91" s="5">
        <f t="shared" si="30"/>
        <v>76.177348045866353</v>
      </c>
      <c r="E91" s="3">
        <f t="shared" si="34"/>
        <v>3.808867402293318</v>
      </c>
      <c r="F91" s="5">
        <f t="shared" si="31"/>
        <v>1.6928299565748079</v>
      </c>
      <c r="G91" s="5">
        <f t="shared" si="32"/>
        <v>2.11603744571851</v>
      </c>
    </row>
    <row r="92" spans="1:7" x14ac:dyDescent="0.2">
      <c r="A92">
        <f t="shared" si="28"/>
        <v>91</v>
      </c>
      <c r="B92" s="5">
        <f t="shared" si="29"/>
        <v>76.177348045866353</v>
      </c>
      <c r="C92" s="5">
        <f t="shared" si="33"/>
        <v>7.617734804586636</v>
      </c>
      <c r="D92" s="5">
        <f t="shared" si="30"/>
        <v>68.55961324127972</v>
      </c>
      <c r="E92" s="3">
        <f t="shared" si="34"/>
        <v>3.4279806620639861</v>
      </c>
      <c r="F92" s="5">
        <f t="shared" si="31"/>
        <v>1.5235469609173271</v>
      </c>
      <c r="G92" s="5">
        <f t="shared" si="32"/>
        <v>1.904433701146659</v>
      </c>
    </row>
    <row r="93" spans="1:7" x14ac:dyDescent="0.2">
      <c r="A93">
        <f t="shared" si="28"/>
        <v>92</v>
      </c>
      <c r="B93" s="5">
        <f t="shared" si="29"/>
        <v>68.55961324127972</v>
      </c>
      <c r="C93" s="5">
        <f t="shared" si="33"/>
        <v>6.8559613241279722</v>
      </c>
      <c r="D93" s="5">
        <f t="shared" si="30"/>
        <v>61.703651917151745</v>
      </c>
      <c r="E93" s="3">
        <f t="shared" si="34"/>
        <v>3.0851825958575874</v>
      </c>
      <c r="F93" s="5">
        <f t="shared" si="31"/>
        <v>1.3711922648255945</v>
      </c>
      <c r="G93" s="5">
        <f t="shared" si="32"/>
        <v>1.7139903310319928</v>
      </c>
    </row>
    <row r="94" spans="1:7" x14ac:dyDescent="0.2">
      <c r="A94">
        <f t="shared" si="28"/>
        <v>93</v>
      </c>
      <c r="B94" s="5">
        <f t="shared" si="29"/>
        <v>61.703651917151745</v>
      </c>
      <c r="C94" s="5">
        <f t="shared" si="33"/>
        <v>6.1703651917151747</v>
      </c>
      <c r="D94" s="5">
        <f t="shared" si="30"/>
        <v>55.533286725436568</v>
      </c>
      <c r="E94" s="3">
        <f t="shared" si="34"/>
        <v>2.7766643362718284</v>
      </c>
      <c r="F94" s="5">
        <f t="shared" si="31"/>
        <v>1.2340730383430349</v>
      </c>
      <c r="G94" s="5">
        <f t="shared" si="32"/>
        <v>1.5425912979287935</v>
      </c>
    </row>
    <row r="95" spans="1:7" x14ac:dyDescent="0.2">
      <c r="A95">
        <f t="shared" si="28"/>
        <v>94</v>
      </c>
      <c r="B95" s="5">
        <f t="shared" si="29"/>
        <v>55.533286725436568</v>
      </c>
      <c r="C95" s="5">
        <f t="shared" si="33"/>
        <v>5.5533286725436568</v>
      </c>
      <c r="D95" s="5">
        <f t="shared" si="30"/>
        <v>49.979958052892911</v>
      </c>
      <c r="E95" s="3">
        <f t="shared" si="34"/>
        <v>2.4989979026446458</v>
      </c>
      <c r="F95" s="5">
        <f t="shared" si="31"/>
        <v>1.1106657345087314</v>
      </c>
      <c r="G95" s="5">
        <f t="shared" si="32"/>
        <v>1.3883321681359144</v>
      </c>
    </row>
    <row r="96" spans="1:7" x14ac:dyDescent="0.2">
      <c r="A96">
        <f t="shared" si="28"/>
        <v>95</v>
      </c>
      <c r="B96" s="5">
        <f t="shared" si="29"/>
        <v>49.979958052892911</v>
      </c>
      <c r="C96" s="5">
        <f t="shared" si="33"/>
        <v>4.9979958052892917</v>
      </c>
      <c r="D96" s="5">
        <f t="shared" si="30"/>
        <v>44.981962247603619</v>
      </c>
      <c r="E96" s="3">
        <f t="shared" si="34"/>
        <v>2.2490981123801812</v>
      </c>
      <c r="F96" s="5">
        <f t="shared" si="31"/>
        <v>0.99959916105785829</v>
      </c>
      <c r="G96" s="5">
        <f t="shared" si="32"/>
        <v>1.2494989513223229</v>
      </c>
    </row>
    <row r="97" spans="1:7" x14ac:dyDescent="0.2">
      <c r="A97">
        <f t="shared" si="28"/>
        <v>96</v>
      </c>
      <c r="B97" s="5">
        <f t="shared" si="29"/>
        <v>44.981962247603619</v>
      </c>
      <c r="C97" s="5">
        <f t="shared" si="33"/>
        <v>4.4981962247603624</v>
      </c>
      <c r="D97" s="5">
        <f t="shared" si="30"/>
        <v>40.483766022843255</v>
      </c>
      <c r="E97" s="3">
        <f t="shared" si="34"/>
        <v>2.0241883011421629</v>
      </c>
      <c r="F97" s="5">
        <f t="shared" si="31"/>
        <v>0.89963924495207237</v>
      </c>
      <c r="G97" s="5">
        <f t="shared" si="32"/>
        <v>1.1245490561900904</v>
      </c>
    </row>
    <row r="98" spans="1:7" x14ac:dyDescent="0.2">
      <c r="A98">
        <f t="shared" si="28"/>
        <v>97</v>
      </c>
      <c r="B98" s="5">
        <f t="shared" si="29"/>
        <v>40.483766022843255</v>
      </c>
      <c r="C98" s="5">
        <f t="shared" si="33"/>
        <v>4.0483766022843257</v>
      </c>
      <c r="D98" s="5">
        <f t="shared" si="30"/>
        <v>36.435389420558927</v>
      </c>
      <c r="E98" s="3">
        <f t="shared" si="34"/>
        <v>1.8217694710279464</v>
      </c>
      <c r="F98" s="5">
        <f t="shared" si="31"/>
        <v>0.80967532045686508</v>
      </c>
      <c r="G98" s="5">
        <f t="shared" si="32"/>
        <v>1.0120941505710812</v>
      </c>
    </row>
    <row r="99" spans="1:7" x14ac:dyDescent="0.2">
      <c r="A99">
        <f t="shared" si="28"/>
        <v>98</v>
      </c>
      <c r="B99" s="5">
        <f t="shared" si="29"/>
        <v>36.435389420558927</v>
      </c>
      <c r="C99" s="5">
        <f t="shared" si="33"/>
        <v>3.6435389420558928</v>
      </c>
      <c r="D99" s="5">
        <f t="shared" si="30"/>
        <v>32.791850478503036</v>
      </c>
      <c r="E99" s="3">
        <f t="shared" si="34"/>
        <v>1.6395925239251519</v>
      </c>
      <c r="F99" s="5">
        <f t="shared" si="31"/>
        <v>0.72870778841117856</v>
      </c>
      <c r="G99" s="5">
        <f t="shared" si="32"/>
        <v>0.91088473551397331</v>
      </c>
    </row>
    <row r="100" spans="1:7" x14ac:dyDescent="0.2">
      <c r="A100">
        <f t="shared" ref="A100:A112" si="35">+A99+1</f>
        <v>99</v>
      </c>
      <c r="B100" s="5">
        <f t="shared" ref="B100:B112" si="36">D99</f>
        <v>32.791850478503036</v>
      </c>
      <c r="C100" s="5">
        <f t="shared" si="33"/>
        <v>3.2791850478503037</v>
      </c>
      <c r="D100" s="5">
        <f t="shared" ref="D100:D112" si="37">B100-C100</f>
        <v>29.512665430652731</v>
      </c>
      <c r="E100" s="3">
        <f t="shared" si="34"/>
        <v>1.4756332715326366</v>
      </c>
      <c r="F100" s="5">
        <f t="shared" ref="F100:F112" si="38">B100*$J$3</f>
        <v>0.65583700957006075</v>
      </c>
      <c r="G100" s="5">
        <f t="shared" ref="G100:G112" si="39">E100-F100</f>
        <v>0.81979626196257582</v>
      </c>
    </row>
    <row r="101" spans="1:7" x14ac:dyDescent="0.2">
      <c r="A101">
        <f t="shared" si="35"/>
        <v>100</v>
      </c>
      <c r="B101" s="5">
        <f t="shared" si="36"/>
        <v>29.512665430652731</v>
      </c>
      <c r="C101" s="5">
        <f t="shared" si="33"/>
        <v>2.9512665430652731</v>
      </c>
      <c r="D101" s="5">
        <f t="shared" si="37"/>
        <v>26.561398887587458</v>
      </c>
      <c r="E101" s="3">
        <f t="shared" si="34"/>
        <v>1.3280699443793731</v>
      </c>
      <c r="F101" s="5">
        <f t="shared" si="38"/>
        <v>0.59025330861305469</v>
      </c>
      <c r="G101" s="5">
        <f t="shared" si="39"/>
        <v>0.7378166357663184</v>
      </c>
    </row>
    <row r="102" spans="1:7" x14ac:dyDescent="0.2">
      <c r="A102">
        <f t="shared" si="35"/>
        <v>101</v>
      </c>
      <c r="B102" s="5">
        <f t="shared" si="36"/>
        <v>26.561398887587458</v>
      </c>
      <c r="C102" s="5">
        <f t="shared" si="33"/>
        <v>2.6561398887587462</v>
      </c>
      <c r="D102" s="5">
        <f t="shared" si="37"/>
        <v>23.905258998828714</v>
      </c>
      <c r="E102" s="3">
        <f t="shared" si="34"/>
        <v>1.1952629499414358</v>
      </c>
      <c r="F102" s="5">
        <f t="shared" si="38"/>
        <v>0.53122797775174913</v>
      </c>
      <c r="G102" s="5">
        <f t="shared" si="39"/>
        <v>0.66403497218968666</v>
      </c>
    </row>
    <row r="103" spans="1:7" x14ac:dyDescent="0.2">
      <c r="A103">
        <f t="shared" si="35"/>
        <v>102</v>
      </c>
      <c r="B103" s="5">
        <f t="shared" si="36"/>
        <v>23.905258998828714</v>
      </c>
      <c r="C103" s="5">
        <f t="shared" si="33"/>
        <v>2.3905258998828716</v>
      </c>
      <c r="D103" s="5">
        <f t="shared" si="37"/>
        <v>21.514733098945843</v>
      </c>
      <c r="E103" s="3">
        <f t="shared" si="34"/>
        <v>1.0757366549472922</v>
      </c>
      <c r="F103" s="5">
        <f t="shared" si="38"/>
        <v>0.47810517997657431</v>
      </c>
      <c r="G103" s="5">
        <f t="shared" si="39"/>
        <v>0.59763147497071789</v>
      </c>
    </row>
    <row r="104" spans="1:7" x14ac:dyDescent="0.2">
      <c r="A104">
        <f t="shared" si="35"/>
        <v>103</v>
      </c>
      <c r="B104" s="5">
        <f t="shared" si="36"/>
        <v>21.514733098945843</v>
      </c>
      <c r="C104" s="5">
        <f t="shared" si="33"/>
        <v>2.1514733098945844</v>
      </c>
      <c r="D104" s="5">
        <f t="shared" si="37"/>
        <v>19.363259789051259</v>
      </c>
      <c r="E104" s="3">
        <f t="shared" si="34"/>
        <v>0.96816298945256296</v>
      </c>
      <c r="F104" s="5">
        <f t="shared" si="38"/>
        <v>0.43029466197891686</v>
      </c>
      <c r="G104" s="5">
        <f t="shared" si="39"/>
        <v>0.5378683274736461</v>
      </c>
    </row>
    <row r="105" spans="1:7" x14ac:dyDescent="0.2">
      <c r="A105">
        <f t="shared" si="35"/>
        <v>104</v>
      </c>
      <c r="B105" s="5">
        <f t="shared" si="36"/>
        <v>19.363259789051259</v>
      </c>
      <c r="C105" s="5">
        <f t="shared" si="33"/>
        <v>1.9363259789051259</v>
      </c>
      <c r="D105" s="5">
        <f t="shared" si="37"/>
        <v>17.426933810146132</v>
      </c>
      <c r="E105" s="3">
        <f t="shared" si="34"/>
        <v>0.87134669050730662</v>
      </c>
      <c r="F105" s="5">
        <f t="shared" si="38"/>
        <v>0.3872651957810252</v>
      </c>
      <c r="G105" s="5">
        <f t="shared" si="39"/>
        <v>0.48408149472628142</v>
      </c>
    </row>
    <row r="106" spans="1:7" x14ac:dyDescent="0.2">
      <c r="A106">
        <f t="shared" si="35"/>
        <v>105</v>
      </c>
      <c r="B106" s="5">
        <f t="shared" si="36"/>
        <v>17.426933810146132</v>
      </c>
      <c r="C106" s="5">
        <f t="shared" si="33"/>
        <v>1.7426933810146132</v>
      </c>
      <c r="D106" s="5">
        <f t="shared" si="37"/>
        <v>15.684240429131519</v>
      </c>
      <c r="E106" s="3">
        <f t="shared" si="34"/>
        <v>0.78421202145657598</v>
      </c>
      <c r="F106" s="5">
        <f t="shared" si="38"/>
        <v>0.34853867620292261</v>
      </c>
      <c r="G106" s="5">
        <f t="shared" si="39"/>
        <v>0.43567334525365337</v>
      </c>
    </row>
    <row r="107" spans="1:7" x14ac:dyDescent="0.2">
      <c r="A107">
        <f t="shared" si="35"/>
        <v>106</v>
      </c>
      <c r="B107" s="5">
        <f t="shared" si="36"/>
        <v>15.684240429131519</v>
      </c>
      <c r="C107" s="5">
        <f t="shared" si="33"/>
        <v>1.568424042913152</v>
      </c>
      <c r="D107" s="5">
        <f t="shared" si="37"/>
        <v>14.115816386218366</v>
      </c>
      <c r="E107" s="3">
        <f t="shared" si="34"/>
        <v>0.70579081931091836</v>
      </c>
      <c r="F107" s="5">
        <f t="shared" si="38"/>
        <v>0.31368480858263037</v>
      </c>
      <c r="G107" s="5">
        <f t="shared" si="39"/>
        <v>0.39210601072828799</v>
      </c>
    </row>
    <row r="108" spans="1:7" x14ac:dyDescent="0.2">
      <c r="A108">
        <f t="shared" si="35"/>
        <v>107</v>
      </c>
      <c r="B108" s="5">
        <f t="shared" si="36"/>
        <v>14.115816386218366</v>
      </c>
      <c r="C108" s="5">
        <f t="shared" si="33"/>
        <v>1.4115816386218367</v>
      </c>
      <c r="D108" s="5">
        <f t="shared" si="37"/>
        <v>12.70423474759653</v>
      </c>
      <c r="E108" s="3">
        <f t="shared" si="34"/>
        <v>0.6352117373798265</v>
      </c>
      <c r="F108" s="5">
        <f t="shared" si="38"/>
        <v>0.28231632772436732</v>
      </c>
      <c r="G108" s="5">
        <f t="shared" si="39"/>
        <v>0.35289540965545918</v>
      </c>
    </row>
    <row r="109" spans="1:7" x14ac:dyDescent="0.2">
      <c r="A109">
        <f t="shared" si="35"/>
        <v>108</v>
      </c>
      <c r="B109" s="5">
        <f t="shared" si="36"/>
        <v>12.70423474759653</v>
      </c>
      <c r="C109" s="5">
        <f t="shared" si="33"/>
        <v>1.270423474759653</v>
      </c>
      <c r="D109" s="5">
        <f t="shared" si="37"/>
        <v>11.433811272836877</v>
      </c>
      <c r="E109" s="3">
        <f t="shared" si="34"/>
        <v>0.5716905636418439</v>
      </c>
      <c r="F109" s="5">
        <f t="shared" si="38"/>
        <v>0.25408469495193059</v>
      </c>
      <c r="G109" s="5">
        <f t="shared" si="39"/>
        <v>0.31760586868991331</v>
      </c>
    </row>
    <row r="110" spans="1:7" x14ac:dyDescent="0.2">
      <c r="A110">
        <f t="shared" si="35"/>
        <v>109</v>
      </c>
      <c r="B110" s="5">
        <f t="shared" si="36"/>
        <v>11.433811272836877</v>
      </c>
      <c r="C110" s="5">
        <f t="shared" si="33"/>
        <v>1.1433811272836878</v>
      </c>
      <c r="D110" s="5">
        <f t="shared" si="37"/>
        <v>10.29043014555319</v>
      </c>
      <c r="E110" s="3">
        <f t="shared" si="34"/>
        <v>0.51452150727765955</v>
      </c>
      <c r="F110" s="5">
        <f t="shared" si="38"/>
        <v>0.22867622545673755</v>
      </c>
      <c r="G110" s="5">
        <f t="shared" si="39"/>
        <v>0.285845281820922</v>
      </c>
    </row>
    <row r="111" spans="1:7" x14ac:dyDescent="0.2">
      <c r="A111">
        <f t="shared" si="35"/>
        <v>110</v>
      </c>
      <c r="B111" s="5">
        <f t="shared" si="36"/>
        <v>10.29043014555319</v>
      </c>
      <c r="C111" s="5">
        <f t="shared" si="33"/>
        <v>1.0290430145553191</v>
      </c>
      <c r="D111" s="5">
        <f t="shared" si="37"/>
        <v>9.2613871309978713</v>
      </c>
      <c r="E111" s="3">
        <f t="shared" si="34"/>
        <v>0.46306935654989356</v>
      </c>
      <c r="F111" s="5">
        <f t="shared" si="38"/>
        <v>0.20580860291106379</v>
      </c>
      <c r="G111" s="5">
        <f t="shared" si="39"/>
        <v>0.25726075363882978</v>
      </c>
    </row>
    <row r="112" spans="1:7" x14ac:dyDescent="0.2">
      <c r="A112">
        <f t="shared" si="35"/>
        <v>111</v>
      </c>
      <c r="B112" s="5">
        <f t="shared" si="36"/>
        <v>9.2613871309978713</v>
      </c>
      <c r="C112" s="5">
        <f t="shared" si="33"/>
        <v>0.92613871309978713</v>
      </c>
      <c r="D112" s="5">
        <f t="shared" si="37"/>
        <v>8.3352484178980841</v>
      </c>
      <c r="E112" s="3">
        <f t="shared" si="34"/>
        <v>0.41676242089490423</v>
      </c>
      <c r="F112" s="5">
        <f t="shared" si="38"/>
        <v>0.18522774261995742</v>
      </c>
      <c r="G112" s="5">
        <f t="shared" si="39"/>
        <v>0.23153467827494681</v>
      </c>
    </row>
    <row r="113" spans="1:7" x14ac:dyDescent="0.2">
      <c r="A113">
        <f t="shared" ref="A113:A118" si="40">+A112+1</f>
        <v>112</v>
      </c>
      <c r="B113" s="5">
        <f t="shared" ref="B113:B118" si="41">D112</f>
        <v>8.3352484178980841</v>
      </c>
      <c r="C113" s="5">
        <f t="shared" si="33"/>
        <v>0.83352484178980846</v>
      </c>
      <c r="D113" s="5">
        <f t="shared" ref="D113:D118" si="42">B113-C113</f>
        <v>7.5017235761082759</v>
      </c>
      <c r="E113" s="3">
        <f t="shared" si="34"/>
        <v>0.37508617880541384</v>
      </c>
      <c r="F113" s="5">
        <f t="shared" ref="F113:F118" si="43">B113*$J$3</f>
        <v>0.1667049683579617</v>
      </c>
      <c r="G113" s="5">
        <f t="shared" ref="G113:G118" si="44">E113-F113</f>
        <v>0.20838121044745214</v>
      </c>
    </row>
    <row r="114" spans="1:7" x14ac:dyDescent="0.2">
      <c r="A114">
        <f t="shared" si="40"/>
        <v>113</v>
      </c>
      <c r="B114" s="5">
        <f t="shared" si="41"/>
        <v>7.5017235761082759</v>
      </c>
      <c r="C114" s="5">
        <f t="shared" si="33"/>
        <v>0.75017235761082768</v>
      </c>
      <c r="D114" s="5">
        <f t="shared" si="42"/>
        <v>6.7515512184974487</v>
      </c>
      <c r="E114" s="3">
        <f t="shared" si="34"/>
        <v>0.33757756092487246</v>
      </c>
      <c r="F114" s="5">
        <f t="shared" si="43"/>
        <v>0.15003447152216551</v>
      </c>
      <c r="G114" s="5">
        <f t="shared" si="44"/>
        <v>0.18754308940270695</v>
      </c>
    </row>
    <row r="115" spans="1:7" x14ac:dyDescent="0.2">
      <c r="A115">
        <f t="shared" si="40"/>
        <v>114</v>
      </c>
      <c r="B115" s="5">
        <f t="shared" si="41"/>
        <v>6.7515512184974487</v>
      </c>
      <c r="C115" s="5">
        <f t="shared" si="33"/>
        <v>0.67515512184974491</v>
      </c>
      <c r="D115" s="5">
        <f t="shared" si="42"/>
        <v>6.076396096647704</v>
      </c>
      <c r="E115" s="3">
        <f t="shared" si="34"/>
        <v>0.30381980483238524</v>
      </c>
      <c r="F115" s="5">
        <f t="shared" si="43"/>
        <v>0.13503102436994899</v>
      </c>
      <c r="G115" s="5">
        <f t="shared" si="44"/>
        <v>0.16878878046243626</v>
      </c>
    </row>
    <row r="116" spans="1:7" x14ac:dyDescent="0.2">
      <c r="A116">
        <f t="shared" si="40"/>
        <v>115</v>
      </c>
      <c r="B116" s="5">
        <f t="shared" si="41"/>
        <v>6.076396096647704</v>
      </c>
      <c r="C116" s="5">
        <f t="shared" si="33"/>
        <v>0.60763960966477049</v>
      </c>
      <c r="D116" s="5">
        <f t="shared" si="42"/>
        <v>5.468756486982933</v>
      </c>
      <c r="E116" s="3">
        <f t="shared" si="34"/>
        <v>0.27343782434914665</v>
      </c>
      <c r="F116" s="5">
        <f t="shared" si="43"/>
        <v>0.12152792193295409</v>
      </c>
      <c r="G116" s="5">
        <f t="shared" si="44"/>
        <v>0.15190990241619257</v>
      </c>
    </row>
    <row r="117" spans="1:7" x14ac:dyDescent="0.2">
      <c r="A117">
        <f t="shared" si="40"/>
        <v>116</v>
      </c>
      <c r="B117" s="5">
        <f t="shared" si="41"/>
        <v>5.468756486982933</v>
      </c>
      <c r="C117" s="5">
        <f t="shared" si="33"/>
        <v>0.5468756486982933</v>
      </c>
      <c r="D117" s="5">
        <f t="shared" si="42"/>
        <v>4.9218808382846397</v>
      </c>
      <c r="E117" s="3">
        <f t="shared" si="34"/>
        <v>0.24609404191423201</v>
      </c>
      <c r="F117" s="5">
        <f t="shared" si="43"/>
        <v>0.10937512973965867</v>
      </c>
      <c r="G117" s="5">
        <f t="shared" si="44"/>
        <v>0.13671891217457333</v>
      </c>
    </row>
    <row r="118" spans="1:7" x14ac:dyDescent="0.2">
      <c r="A118">
        <f t="shared" si="40"/>
        <v>117</v>
      </c>
      <c r="B118" s="5">
        <f t="shared" si="41"/>
        <v>4.9218808382846397</v>
      </c>
      <c r="C118" s="5">
        <f t="shared" si="33"/>
        <v>0.49218808382846402</v>
      </c>
      <c r="D118" s="5">
        <f t="shared" si="42"/>
        <v>4.4296927544561759</v>
      </c>
      <c r="E118" s="3">
        <f t="shared" si="34"/>
        <v>0.2214846377228088</v>
      </c>
      <c r="F118" s="5">
        <f t="shared" si="43"/>
        <v>9.8437616765692793E-2</v>
      </c>
      <c r="G118" s="5">
        <f t="shared" si="44"/>
        <v>0.123047020957116</v>
      </c>
    </row>
    <row r="119" spans="1:7" x14ac:dyDescent="0.2">
      <c r="A119" t="s">
        <v>9</v>
      </c>
      <c r="B119" s="8">
        <f>SUM(B2:B118)</f>
        <v>9999955.7030724529</v>
      </c>
      <c r="C119" s="8">
        <f t="shared" ref="C119:G119" si="45">SUM(C2:C118)</f>
        <v>999995.57030724606</v>
      </c>
      <c r="D119" s="8">
        <f t="shared" si="45"/>
        <v>8999960.1327652056</v>
      </c>
      <c r="E119" s="8">
        <f t="shared" si="45"/>
        <v>449998.00663826062</v>
      </c>
      <c r="F119" s="8">
        <f t="shared" si="45"/>
        <v>199999.11406144904</v>
      </c>
      <c r="G119" s="8">
        <f t="shared" si="45"/>
        <v>249998.89257681152</v>
      </c>
    </row>
    <row r="120" spans="1:7" x14ac:dyDescent="0.2">
      <c r="A120" t="s">
        <v>9</v>
      </c>
      <c r="B120" s="5" t="s">
        <v>9</v>
      </c>
      <c r="C120" s="5" t="s">
        <v>9</v>
      </c>
      <c r="D120" s="5" t="s">
        <v>9</v>
      </c>
      <c r="E120" s="3" t="s">
        <v>9</v>
      </c>
      <c r="F120" s="5" t="s">
        <v>9</v>
      </c>
      <c r="G120" s="5" t="s">
        <v>10</v>
      </c>
    </row>
    <row r="121" spans="1:7" x14ac:dyDescent="0.2">
      <c r="A121" t="s">
        <v>9</v>
      </c>
      <c r="B121" s="5" t="s">
        <v>9</v>
      </c>
      <c r="C121" s="5" t="s">
        <v>9</v>
      </c>
      <c r="D121" s="5" t="s">
        <v>9</v>
      </c>
      <c r="E121" s="3" t="s">
        <v>9</v>
      </c>
      <c r="F121" s="5" t="s">
        <v>9</v>
      </c>
      <c r="G121" s="5" t="s">
        <v>10</v>
      </c>
    </row>
    <row r="122" spans="1:7" x14ac:dyDescent="0.2">
      <c r="A122" t="s">
        <v>9</v>
      </c>
      <c r="B122" s="5" t="s">
        <v>9</v>
      </c>
      <c r="C122" s="5" t="s">
        <v>9</v>
      </c>
      <c r="D122" s="5" t="s">
        <v>9</v>
      </c>
      <c r="E122" s="3" t="s">
        <v>9</v>
      </c>
      <c r="F122" s="5" t="s">
        <v>9</v>
      </c>
      <c r="G122" s="5" t="s">
        <v>10</v>
      </c>
    </row>
    <row r="123" spans="1:7" x14ac:dyDescent="0.2">
      <c r="A123" t="s">
        <v>9</v>
      </c>
      <c r="B123" s="5" t="s">
        <v>9</v>
      </c>
      <c r="C123" s="5" t="s">
        <v>9</v>
      </c>
      <c r="D123" s="5" t="s">
        <v>9</v>
      </c>
      <c r="E123" s="3" t="s">
        <v>9</v>
      </c>
      <c r="F123" s="5" t="s">
        <v>9</v>
      </c>
      <c r="G123" s="5" t="s">
        <v>10</v>
      </c>
    </row>
    <row r="124" spans="1:7" x14ac:dyDescent="0.2">
      <c r="A124" t="s">
        <v>9</v>
      </c>
      <c r="B124" s="5" t="s">
        <v>9</v>
      </c>
      <c r="C124" s="5" t="s">
        <v>9</v>
      </c>
      <c r="D124" s="5" t="s">
        <v>9</v>
      </c>
      <c r="E124" s="3" t="s">
        <v>9</v>
      </c>
      <c r="F124" s="5" t="s">
        <v>9</v>
      </c>
      <c r="G124" s="5" t="s">
        <v>10</v>
      </c>
    </row>
    <row r="125" spans="1:7" x14ac:dyDescent="0.2">
      <c r="A125" t="s">
        <v>9</v>
      </c>
      <c r="B125" s="5" t="s">
        <v>9</v>
      </c>
      <c r="C125" s="5" t="s">
        <v>9</v>
      </c>
      <c r="D125" s="5" t="s">
        <v>9</v>
      </c>
      <c r="E125" s="3" t="s">
        <v>9</v>
      </c>
      <c r="F125" s="5" t="s">
        <v>9</v>
      </c>
      <c r="G125" s="5" t="s">
        <v>10</v>
      </c>
    </row>
    <row r="126" spans="1:7" x14ac:dyDescent="0.2">
      <c r="A126" t="s">
        <v>9</v>
      </c>
      <c r="B126" s="5" t="s">
        <v>9</v>
      </c>
      <c r="C126" s="5" t="s">
        <v>9</v>
      </c>
      <c r="D126" s="5" t="s">
        <v>9</v>
      </c>
      <c r="E126" s="3" t="s">
        <v>9</v>
      </c>
      <c r="F126" s="5" t="s">
        <v>9</v>
      </c>
      <c r="G126" s="5" t="s">
        <v>10</v>
      </c>
    </row>
    <row r="127" spans="1:7" x14ac:dyDescent="0.2">
      <c r="A127" t="s">
        <v>9</v>
      </c>
      <c r="B127" s="5" t="s">
        <v>9</v>
      </c>
      <c r="C127" s="5" t="s">
        <v>9</v>
      </c>
      <c r="D127" s="5" t="s">
        <v>9</v>
      </c>
      <c r="E127" s="3" t="s">
        <v>9</v>
      </c>
      <c r="F127" s="5" t="s">
        <v>9</v>
      </c>
      <c r="G127" s="5" t="s">
        <v>10</v>
      </c>
    </row>
    <row r="128" spans="1:7" x14ac:dyDescent="0.2">
      <c r="A128" t="s">
        <v>9</v>
      </c>
      <c r="B128" s="5" t="s">
        <v>9</v>
      </c>
      <c r="C128" s="5" t="s">
        <v>9</v>
      </c>
      <c r="D128" s="5" t="s">
        <v>9</v>
      </c>
      <c r="E128" s="3" t="s">
        <v>9</v>
      </c>
      <c r="F128" s="5" t="s">
        <v>9</v>
      </c>
      <c r="G128" s="5" t="s">
        <v>10</v>
      </c>
    </row>
    <row r="129" spans="1:7" x14ac:dyDescent="0.2">
      <c r="A129" t="s">
        <v>9</v>
      </c>
      <c r="B129" s="5" t="s">
        <v>9</v>
      </c>
      <c r="C129" s="5" t="s">
        <v>9</v>
      </c>
      <c r="D129" s="5" t="s">
        <v>9</v>
      </c>
      <c r="E129" s="3" t="s">
        <v>9</v>
      </c>
      <c r="F129" s="5" t="s">
        <v>9</v>
      </c>
      <c r="G129" s="5" t="s">
        <v>10</v>
      </c>
    </row>
    <row r="130" spans="1:7" x14ac:dyDescent="0.2">
      <c r="A130" t="s">
        <v>9</v>
      </c>
      <c r="B130" s="5" t="s">
        <v>9</v>
      </c>
      <c r="C130" s="5" t="s">
        <v>9</v>
      </c>
      <c r="D130" s="5" t="s">
        <v>9</v>
      </c>
      <c r="E130" s="3" t="s">
        <v>9</v>
      </c>
      <c r="F130" s="5" t="s">
        <v>9</v>
      </c>
      <c r="G130" s="5" t="s">
        <v>10</v>
      </c>
    </row>
    <row r="131" spans="1:7" x14ac:dyDescent="0.2">
      <c r="A131" t="s">
        <v>9</v>
      </c>
      <c r="B131" s="5" t="s">
        <v>9</v>
      </c>
      <c r="C131" s="5" t="s">
        <v>9</v>
      </c>
      <c r="D131" s="5" t="s">
        <v>9</v>
      </c>
      <c r="E131" s="3" t="s">
        <v>9</v>
      </c>
      <c r="F131" s="5" t="s">
        <v>9</v>
      </c>
      <c r="G131" s="5" t="s">
        <v>10</v>
      </c>
    </row>
    <row r="132" spans="1:7" x14ac:dyDescent="0.2">
      <c r="A132" t="s">
        <v>9</v>
      </c>
      <c r="B132" s="5" t="s">
        <v>9</v>
      </c>
      <c r="C132" s="5" t="s">
        <v>9</v>
      </c>
      <c r="D132" s="5" t="s">
        <v>9</v>
      </c>
      <c r="E132" s="3" t="s">
        <v>9</v>
      </c>
      <c r="F132" s="5" t="s">
        <v>9</v>
      </c>
      <c r="G132" s="5" t="s">
        <v>10</v>
      </c>
    </row>
    <row r="133" spans="1:7" x14ac:dyDescent="0.2">
      <c r="A133" t="s">
        <v>9</v>
      </c>
      <c r="B133" s="5" t="s">
        <v>9</v>
      </c>
      <c r="C133" s="5" t="s">
        <v>9</v>
      </c>
      <c r="D133" s="5" t="s">
        <v>9</v>
      </c>
      <c r="E133" s="3" t="s">
        <v>9</v>
      </c>
      <c r="F133" s="5" t="s">
        <v>9</v>
      </c>
      <c r="G133" s="5" t="s">
        <v>10</v>
      </c>
    </row>
    <row r="134" spans="1:7" x14ac:dyDescent="0.2">
      <c r="A134" t="s">
        <v>9</v>
      </c>
      <c r="B134" s="5" t="s">
        <v>9</v>
      </c>
      <c r="C134" s="5" t="s">
        <v>9</v>
      </c>
      <c r="D134" s="5" t="s">
        <v>9</v>
      </c>
      <c r="E134" s="3" t="s">
        <v>9</v>
      </c>
      <c r="F134" s="5" t="s">
        <v>9</v>
      </c>
      <c r="G134" s="5" t="s">
        <v>10</v>
      </c>
    </row>
    <row r="135" spans="1:7" x14ac:dyDescent="0.2">
      <c r="A135" t="s">
        <v>9</v>
      </c>
      <c r="B135" s="5" t="s">
        <v>9</v>
      </c>
      <c r="C135" s="5" t="s">
        <v>9</v>
      </c>
      <c r="D135" s="5" t="s">
        <v>9</v>
      </c>
      <c r="E135" s="3" t="s">
        <v>9</v>
      </c>
      <c r="F135" s="5" t="s">
        <v>9</v>
      </c>
      <c r="G135" s="5" t="s">
        <v>10</v>
      </c>
    </row>
    <row r="136" spans="1:7" x14ac:dyDescent="0.2">
      <c r="A136" t="s">
        <v>9</v>
      </c>
      <c r="B136" s="5" t="s">
        <v>9</v>
      </c>
      <c r="C136" s="5" t="s">
        <v>9</v>
      </c>
      <c r="D136" s="5" t="s">
        <v>9</v>
      </c>
      <c r="E136" s="3" t="s">
        <v>9</v>
      </c>
      <c r="F136" s="5" t="s">
        <v>9</v>
      </c>
      <c r="G136" s="5" t="s">
        <v>10</v>
      </c>
    </row>
    <row r="137" spans="1:7" x14ac:dyDescent="0.2">
      <c r="A137" t="s">
        <v>9</v>
      </c>
      <c r="B137" s="5" t="s">
        <v>9</v>
      </c>
      <c r="C137" s="5" t="s">
        <v>9</v>
      </c>
      <c r="D137" s="5" t="s">
        <v>9</v>
      </c>
      <c r="E137" s="3" t="s">
        <v>9</v>
      </c>
      <c r="F137" s="5" t="s">
        <v>9</v>
      </c>
      <c r="G137" s="5" t="s">
        <v>10</v>
      </c>
    </row>
    <row r="138" spans="1:7" x14ac:dyDescent="0.2">
      <c r="A138" t="s">
        <v>9</v>
      </c>
      <c r="B138" s="5" t="s">
        <v>9</v>
      </c>
      <c r="C138" s="5" t="s">
        <v>9</v>
      </c>
      <c r="D138" s="5" t="s">
        <v>9</v>
      </c>
      <c r="E138" s="3" t="s">
        <v>9</v>
      </c>
      <c r="F138" s="5" t="s">
        <v>9</v>
      </c>
      <c r="G138" s="5" t="s">
        <v>10</v>
      </c>
    </row>
    <row r="139" spans="1:7" x14ac:dyDescent="0.2">
      <c r="A139" t="s">
        <v>9</v>
      </c>
      <c r="B139" s="5" t="s">
        <v>9</v>
      </c>
      <c r="C139" s="5" t="s">
        <v>9</v>
      </c>
      <c r="D139" s="5" t="s">
        <v>9</v>
      </c>
      <c r="E139" s="3" t="s">
        <v>9</v>
      </c>
      <c r="F139" s="5" t="s">
        <v>9</v>
      </c>
      <c r="G139" s="5" t="s">
        <v>10</v>
      </c>
    </row>
    <row r="140" spans="1:7" x14ac:dyDescent="0.2">
      <c r="A140" t="s">
        <v>9</v>
      </c>
      <c r="B140" s="5" t="s">
        <v>9</v>
      </c>
      <c r="C140" s="5" t="s">
        <v>9</v>
      </c>
      <c r="D140" s="5" t="s">
        <v>9</v>
      </c>
      <c r="E140" s="3" t="s">
        <v>9</v>
      </c>
      <c r="F140" s="5" t="s">
        <v>9</v>
      </c>
      <c r="G140" s="5" t="s">
        <v>10</v>
      </c>
    </row>
    <row r="141" spans="1:7" x14ac:dyDescent="0.2">
      <c r="A141" t="s">
        <v>9</v>
      </c>
      <c r="B141" s="5" t="s">
        <v>9</v>
      </c>
      <c r="C141" s="5" t="s">
        <v>9</v>
      </c>
      <c r="D141" s="5" t="s">
        <v>9</v>
      </c>
      <c r="E141" s="3" t="s">
        <v>9</v>
      </c>
      <c r="F141" s="5" t="s">
        <v>9</v>
      </c>
      <c r="G141" s="5" t="s">
        <v>10</v>
      </c>
    </row>
    <row r="142" spans="1:7" x14ac:dyDescent="0.2">
      <c r="A142" t="s">
        <v>9</v>
      </c>
      <c r="B142" s="5" t="s">
        <v>9</v>
      </c>
      <c r="C142" s="5" t="s">
        <v>9</v>
      </c>
      <c r="D142" s="5" t="s">
        <v>9</v>
      </c>
      <c r="E142" s="3" t="s">
        <v>9</v>
      </c>
      <c r="F142" s="5" t="s">
        <v>9</v>
      </c>
      <c r="G142" s="5" t="s">
        <v>10</v>
      </c>
    </row>
    <row r="143" spans="1:7" x14ac:dyDescent="0.2">
      <c r="A143" t="s">
        <v>9</v>
      </c>
      <c r="B143" s="5" t="s">
        <v>9</v>
      </c>
      <c r="C143" s="5" t="s">
        <v>9</v>
      </c>
      <c r="D143" s="5" t="s">
        <v>9</v>
      </c>
      <c r="E143" s="3" t="s">
        <v>9</v>
      </c>
      <c r="F143" s="5" t="s">
        <v>9</v>
      </c>
      <c r="G143" s="5" t="s">
        <v>10</v>
      </c>
    </row>
    <row r="144" spans="1:7" x14ac:dyDescent="0.2">
      <c r="A144" t="s">
        <v>9</v>
      </c>
      <c r="B144" s="5" t="s">
        <v>9</v>
      </c>
      <c r="C144" s="5" t="s">
        <v>9</v>
      </c>
      <c r="D144" s="5" t="s">
        <v>9</v>
      </c>
      <c r="E144" s="3" t="s">
        <v>9</v>
      </c>
      <c r="F144" s="5" t="s">
        <v>9</v>
      </c>
      <c r="G144" s="5" t="s">
        <v>10</v>
      </c>
    </row>
    <row r="145" spans="1:7" x14ac:dyDescent="0.2">
      <c r="A145" t="s">
        <v>9</v>
      </c>
      <c r="B145" s="5" t="s">
        <v>9</v>
      </c>
      <c r="C145" s="5" t="s">
        <v>9</v>
      </c>
      <c r="D145" s="5" t="s">
        <v>9</v>
      </c>
      <c r="E145" s="3" t="s">
        <v>9</v>
      </c>
      <c r="F145" s="5" t="s">
        <v>9</v>
      </c>
      <c r="G145" s="5" t="s">
        <v>10</v>
      </c>
    </row>
    <row r="146" spans="1:7" x14ac:dyDescent="0.2">
      <c r="A146" t="s">
        <v>9</v>
      </c>
      <c r="B146" s="5" t="s">
        <v>9</v>
      </c>
      <c r="C146" s="5" t="s">
        <v>9</v>
      </c>
      <c r="D146" s="5" t="s">
        <v>9</v>
      </c>
      <c r="E146" s="3" t="s">
        <v>9</v>
      </c>
      <c r="F146" s="5" t="s">
        <v>9</v>
      </c>
      <c r="G146" s="5" t="s">
        <v>10</v>
      </c>
    </row>
    <row r="147" spans="1:7" x14ac:dyDescent="0.2">
      <c r="A147" t="s">
        <v>9</v>
      </c>
      <c r="B147" s="5" t="s">
        <v>9</v>
      </c>
      <c r="C147" s="5" t="s">
        <v>9</v>
      </c>
      <c r="D147" s="5" t="s">
        <v>9</v>
      </c>
      <c r="E147" s="3" t="s">
        <v>9</v>
      </c>
      <c r="F147" s="5" t="s">
        <v>9</v>
      </c>
      <c r="G147" s="5" t="s">
        <v>10</v>
      </c>
    </row>
    <row r="148" spans="1:7" x14ac:dyDescent="0.2">
      <c r="A148" t="s">
        <v>9</v>
      </c>
      <c r="B148" s="5" t="s">
        <v>9</v>
      </c>
      <c r="C148" s="5" t="s">
        <v>9</v>
      </c>
      <c r="D148" s="5" t="s">
        <v>9</v>
      </c>
      <c r="E148" s="3" t="s">
        <v>9</v>
      </c>
      <c r="F148" s="5" t="s">
        <v>9</v>
      </c>
      <c r="G148" s="5" t="s">
        <v>10</v>
      </c>
    </row>
    <row r="149" spans="1:7" x14ac:dyDescent="0.2">
      <c r="A149" t="s">
        <v>9</v>
      </c>
      <c r="B149" s="5" t="s">
        <v>9</v>
      </c>
      <c r="C149" s="5" t="s">
        <v>9</v>
      </c>
      <c r="D149" s="5" t="s">
        <v>9</v>
      </c>
      <c r="E149" s="3" t="s">
        <v>9</v>
      </c>
      <c r="F149" s="5" t="s">
        <v>9</v>
      </c>
      <c r="G149" s="5" t="s">
        <v>10</v>
      </c>
    </row>
    <row r="150" spans="1:7" x14ac:dyDescent="0.2">
      <c r="A150" t="s">
        <v>9</v>
      </c>
      <c r="B150" s="5" t="s">
        <v>9</v>
      </c>
      <c r="C150" s="5" t="s">
        <v>9</v>
      </c>
      <c r="D150" s="5" t="s">
        <v>9</v>
      </c>
      <c r="E150" s="3" t="s">
        <v>9</v>
      </c>
      <c r="F150" s="5" t="s">
        <v>9</v>
      </c>
      <c r="G150" s="5" t="s">
        <v>10</v>
      </c>
    </row>
    <row r="151" spans="1:7" x14ac:dyDescent="0.2">
      <c r="A151" t="s">
        <v>9</v>
      </c>
      <c r="B151" s="5" t="s">
        <v>9</v>
      </c>
      <c r="C151" s="5" t="s">
        <v>9</v>
      </c>
      <c r="D151" s="5" t="s">
        <v>9</v>
      </c>
      <c r="E151" s="3" t="s">
        <v>9</v>
      </c>
      <c r="F151" s="5" t="s">
        <v>9</v>
      </c>
      <c r="G151" s="5" t="s">
        <v>10</v>
      </c>
    </row>
    <row r="152" spans="1:7" x14ac:dyDescent="0.2">
      <c r="A152" t="s">
        <v>9</v>
      </c>
      <c r="B152" s="5" t="s">
        <v>9</v>
      </c>
      <c r="C152" s="5" t="s">
        <v>9</v>
      </c>
      <c r="D152" s="5" t="s">
        <v>9</v>
      </c>
      <c r="E152" s="3" t="s">
        <v>9</v>
      </c>
      <c r="F152" s="5" t="s">
        <v>9</v>
      </c>
      <c r="G152" s="5" t="s">
        <v>10</v>
      </c>
    </row>
    <row r="153" spans="1:7" x14ac:dyDescent="0.2">
      <c r="A153" t="s">
        <v>9</v>
      </c>
      <c r="B153" s="5" t="s">
        <v>9</v>
      </c>
      <c r="C153" s="5" t="s">
        <v>9</v>
      </c>
      <c r="D153" s="5" t="s">
        <v>9</v>
      </c>
      <c r="E153" s="3" t="s">
        <v>9</v>
      </c>
      <c r="F153" s="5" t="s">
        <v>9</v>
      </c>
      <c r="G153" s="5" t="s">
        <v>10</v>
      </c>
    </row>
    <row r="154" spans="1:7" x14ac:dyDescent="0.2">
      <c r="A154" t="s">
        <v>9</v>
      </c>
      <c r="B154" s="5" t="s">
        <v>9</v>
      </c>
      <c r="C154" s="5" t="s">
        <v>9</v>
      </c>
      <c r="D154" s="5" t="s">
        <v>9</v>
      </c>
      <c r="E154" s="3" t="s">
        <v>9</v>
      </c>
      <c r="F154" s="5" t="s">
        <v>9</v>
      </c>
      <c r="G154" s="5" t="s">
        <v>10</v>
      </c>
    </row>
    <row r="155" spans="1:7" x14ac:dyDescent="0.2">
      <c r="A155" t="s">
        <v>9</v>
      </c>
      <c r="B155" s="5" t="s">
        <v>9</v>
      </c>
      <c r="C155" s="5" t="s">
        <v>9</v>
      </c>
      <c r="D155" s="5" t="s">
        <v>9</v>
      </c>
      <c r="E155" s="3" t="s">
        <v>9</v>
      </c>
      <c r="F155" s="5" t="s">
        <v>9</v>
      </c>
      <c r="G155" s="5" t="s">
        <v>10</v>
      </c>
    </row>
    <row r="156" spans="1:7" x14ac:dyDescent="0.2">
      <c r="A156" t="s">
        <v>9</v>
      </c>
      <c r="B156" s="5" t="s">
        <v>9</v>
      </c>
      <c r="C156" s="5" t="s">
        <v>9</v>
      </c>
      <c r="D156" s="5" t="s">
        <v>9</v>
      </c>
      <c r="E156" s="3" t="s">
        <v>9</v>
      </c>
      <c r="F156" s="5" t="s">
        <v>9</v>
      </c>
      <c r="G156" s="5" t="s">
        <v>10</v>
      </c>
    </row>
    <row r="157" spans="1:7" x14ac:dyDescent="0.2">
      <c r="A157" t="s">
        <v>9</v>
      </c>
      <c r="B157" s="5" t="s">
        <v>9</v>
      </c>
      <c r="C157" s="5" t="s">
        <v>9</v>
      </c>
      <c r="D157" s="5" t="s">
        <v>9</v>
      </c>
      <c r="E157" s="3" t="s">
        <v>9</v>
      </c>
      <c r="F157" s="5" t="s">
        <v>9</v>
      </c>
      <c r="G157" s="5" t="s">
        <v>10</v>
      </c>
    </row>
    <row r="158" spans="1:7" x14ac:dyDescent="0.2">
      <c r="A158" t="s">
        <v>9</v>
      </c>
      <c r="B158" s="5" t="s">
        <v>9</v>
      </c>
      <c r="C158" s="5" t="s">
        <v>9</v>
      </c>
      <c r="D158" s="5" t="s">
        <v>9</v>
      </c>
      <c r="E158" s="3" t="s">
        <v>9</v>
      </c>
      <c r="F158" s="5" t="s">
        <v>9</v>
      </c>
      <c r="G158" s="5" t="s">
        <v>10</v>
      </c>
    </row>
    <row r="159" spans="1:7" x14ac:dyDescent="0.2">
      <c r="A159" t="s">
        <v>9</v>
      </c>
      <c r="B159" s="5" t="s">
        <v>9</v>
      </c>
      <c r="C159" s="5" t="s">
        <v>9</v>
      </c>
      <c r="D159" s="5" t="s">
        <v>9</v>
      </c>
      <c r="E159" s="3" t="s">
        <v>9</v>
      </c>
      <c r="F159" s="5" t="s">
        <v>9</v>
      </c>
      <c r="G159" s="5" t="s">
        <v>10</v>
      </c>
    </row>
    <row r="160" spans="1:7" x14ac:dyDescent="0.2">
      <c r="A160" t="s">
        <v>9</v>
      </c>
      <c r="B160" s="5" t="s">
        <v>9</v>
      </c>
      <c r="C160" s="5" t="s">
        <v>9</v>
      </c>
      <c r="D160" s="5" t="s">
        <v>9</v>
      </c>
      <c r="E160" s="3" t="s">
        <v>9</v>
      </c>
      <c r="F160" s="5" t="s">
        <v>9</v>
      </c>
      <c r="G160" s="5" t="s">
        <v>10</v>
      </c>
    </row>
    <row r="161" spans="1:7" x14ac:dyDescent="0.2">
      <c r="A161" t="s">
        <v>9</v>
      </c>
      <c r="B161" s="5" t="s">
        <v>9</v>
      </c>
      <c r="C161" s="5" t="s">
        <v>9</v>
      </c>
      <c r="D161" s="5" t="s">
        <v>9</v>
      </c>
      <c r="E161" s="3" t="s">
        <v>9</v>
      </c>
      <c r="F161" s="5" t="s">
        <v>9</v>
      </c>
      <c r="G161" s="5" t="s">
        <v>10</v>
      </c>
    </row>
    <row r="162" spans="1:7" x14ac:dyDescent="0.2">
      <c r="A162" t="s">
        <v>9</v>
      </c>
      <c r="B162" s="5" t="s">
        <v>9</v>
      </c>
      <c r="C162" s="5" t="s">
        <v>9</v>
      </c>
      <c r="D162" s="5" t="s">
        <v>9</v>
      </c>
      <c r="E162" s="3" t="s">
        <v>9</v>
      </c>
      <c r="F162" s="5" t="s">
        <v>9</v>
      </c>
      <c r="G162" s="5" t="s">
        <v>10</v>
      </c>
    </row>
    <row r="163" spans="1:7" x14ac:dyDescent="0.2">
      <c r="A163" t="s">
        <v>9</v>
      </c>
      <c r="B163" s="5" t="s">
        <v>9</v>
      </c>
      <c r="C163" s="5" t="s">
        <v>9</v>
      </c>
      <c r="D163" s="5" t="s">
        <v>9</v>
      </c>
      <c r="E163" s="3" t="s">
        <v>9</v>
      </c>
      <c r="F163" s="5" t="s">
        <v>9</v>
      </c>
      <c r="G163" s="5" t="s">
        <v>10</v>
      </c>
    </row>
    <row r="164" spans="1:7" x14ac:dyDescent="0.2">
      <c r="A164" t="s">
        <v>9</v>
      </c>
      <c r="B164" s="5" t="s">
        <v>9</v>
      </c>
      <c r="C164" s="5" t="s">
        <v>9</v>
      </c>
      <c r="D164" s="5" t="s">
        <v>9</v>
      </c>
      <c r="E164" s="3" t="s">
        <v>9</v>
      </c>
      <c r="F164" s="5" t="s">
        <v>9</v>
      </c>
      <c r="G164" s="5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CE99-0616-6F47-A025-551709A1380E}">
  <dimension ref="A1:J164"/>
  <sheetViews>
    <sheetView zoomScale="183" zoomScaleNormal="183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2" sqref="A12"/>
    </sheetView>
  </sheetViews>
  <sheetFormatPr baseColWidth="10" defaultRowHeight="16" x14ac:dyDescent="0.2"/>
  <cols>
    <col min="2" max="2" width="13.1640625" bestFit="1" customWidth="1"/>
    <col min="3" max="3" width="12.33203125" customWidth="1"/>
    <col min="4" max="4" width="14.33203125" customWidth="1"/>
    <col min="5" max="5" width="11.6640625" bestFit="1" customWidth="1"/>
    <col min="7" max="7" width="12.5" customWidth="1"/>
    <col min="8" max="8" width="3.5" customWidth="1"/>
    <col min="9" max="9" width="27.83203125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0" x14ac:dyDescent="0.2">
      <c r="A2">
        <v>1</v>
      </c>
      <c r="B2" s="4">
        <v>1000000</v>
      </c>
      <c r="C2" s="5">
        <f>B2*$J$2</f>
        <v>100000</v>
      </c>
      <c r="D2" s="4">
        <f>B2-C2</f>
        <v>900000</v>
      </c>
      <c r="E2" s="4">
        <f>+D2*$J$4</f>
        <v>45000</v>
      </c>
      <c r="F2" s="5">
        <f>B2*$J$3</f>
        <v>20000</v>
      </c>
      <c r="G2" s="5">
        <f>E2-F2</f>
        <v>25000</v>
      </c>
      <c r="I2" t="s">
        <v>8</v>
      </c>
      <c r="J2" s="2">
        <v>0.1</v>
      </c>
    </row>
    <row r="3" spans="1:10" x14ac:dyDescent="0.2">
      <c r="A3">
        <f>+A2+1</f>
        <v>2</v>
      </c>
      <c r="B3" s="5">
        <f>D2</f>
        <v>900000</v>
      </c>
      <c r="C3" s="5">
        <f t="shared" ref="C3:C66" si="0">B3*$J$2</f>
        <v>90000</v>
      </c>
      <c r="D3" s="18">
        <f t="shared" ref="D3:D66" si="1">B3-C3</f>
        <v>810000</v>
      </c>
      <c r="E3" s="19">
        <f>+D3*$J$5</f>
        <v>48600</v>
      </c>
      <c r="F3" s="5">
        <f t="shared" ref="F3:F66" si="2">B3*$J$3</f>
        <v>18000</v>
      </c>
      <c r="G3" s="5">
        <f t="shared" ref="G3:G66" si="3">E3-F3</f>
        <v>30600</v>
      </c>
      <c r="I3" s="1" t="s">
        <v>7</v>
      </c>
      <c r="J3" s="2">
        <v>0.02</v>
      </c>
    </row>
    <row r="4" spans="1:10" x14ac:dyDescent="0.2">
      <c r="A4">
        <f t="shared" ref="A4:A67" si="4">+A3+1</f>
        <v>3</v>
      </c>
      <c r="B4" s="5">
        <f t="shared" ref="B4:B67" si="5">D3</f>
        <v>810000</v>
      </c>
      <c r="C4" s="5">
        <f t="shared" si="0"/>
        <v>81000</v>
      </c>
      <c r="D4" s="20">
        <f t="shared" si="1"/>
        <v>729000</v>
      </c>
      <c r="E4" s="21">
        <f>+D4*$J$6</f>
        <v>72900</v>
      </c>
      <c r="F4" s="5">
        <f t="shared" si="2"/>
        <v>16200</v>
      </c>
      <c r="G4" s="5">
        <f t="shared" si="3"/>
        <v>56700</v>
      </c>
      <c r="I4" s="10" t="s">
        <v>19</v>
      </c>
      <c r="J4" s="2">
        <v>0.05</v>
      </c>
    </row>
    <row r="5" spans="1:10" x14ac:dyDescent="0.2">
      <c r="A5">
        <f t="shared" si="4"/>
        <v>4</v>
      </c>
      <c r="B5" s="5">
        <f t="shared" si="5"/>
        <v>729000</v>
      </c>
      <c r="C5" s="5">
        <f t="shared" si="0"/>
        <v>72900</v>
      </c>
      <c r="D5" s="22">
        <f t="shared" si="1"/>
        <v>656100</v>
      </c>
      <c r="E5" s="23">
        <f>+D5*$J$7</f>
        <v>131220</v>
      </c>
      <c r="F5" s="5">
        <f t="shared" si="2"/>
        <v>14580</v>
      </c>
      <c r="G5" s="5">
        <f t="shared" si="3"/>
        <v>116640</v>
      </c>
      <c r="I5" s="11" t="s">
        <v>20</v>
      </c>
      <c r="J5" s="14">
        <v>0.06</v>
      </c>
    </row>
    <row r="6" spans="1:10" x14ac:dyDescent="0.2">
      <c r="A6">
        <f t="shared" si="4"/>
        <v>5</v>
      </c>
      <c r="B6" s="5">
        <f t="shared" si="5"/>
        <v>656100</v>
      </c>
      <c r="C6" s="5">
        <f t="shared" si="0"/>
        <v>65610</v>
      </c>
      <c r="D6" s="22">
        <f t="shared" si="1"/>
        <v>590490</v>
      </c>
      <c r="E6" s="23">
        <f>+D6*$J$7</f>
        <v>118098</v>
      </c>
      <c r="F6" s="5">
        <f t="shared" si="2"/>
        <v>13122</v>
      </c>
      <c r="G6" s="5">
        <f t="shared" si="3"/>
        <v>104976</v>
      </c>
      <c r="I6" s="12" t="s">
        <v>22</v>
      </c>
      <c r="J6" s="15">
        <v>0.1</v>
      </c>
    </row>
    <row r="7" spans="1:10" x14ac:dyDescent="0.2">
      <c r="A7">
        <f t="shared" si="4"/>
        <v>6</v>
      </c>
      <c r="B7" s="5">
        <f t="shared" si="5"/>
        <v>590490</v>
      </c>
      <c r="C7" s="5">
        <f t="shared" si="0"/>
        <v>59049</v>
      </c>
      <c r="D7" s="22">
        <f t="shared" si="1"/>
        <v>531441</v>
      </c>
      <c r="E7" s="23">
        <f t="shared" ref="E7:E70" si="6">+D7*$J$7</f>
        <v>106288.20000000001</v>
      </c>
      <c r="F7" s="5">
        <f t="shared" si="2"/>
        <v>11809.800000000001</v>
      </c>
      <c r="G7" s="5">
        <f t="shared" si="3"/>
        <v>94478.400000000009</v>
      </c>
      <c r="I7" s="13" t="s">
        <v>21</v>
      </c>
      <c r="J7" s="16">
        <v>0.2</v>
      </c>
    </row>
    <row r="8" spans="1:10" x14ac:dyDescent="0.2">
      <c r="A8">
        <f t="shared" si="4"/>
        <v>7</v>
      </c>
      <c r="B8" s="5">
        <f t="shared" si="5"/>
        <v>531441</v>
      </c>
      <c r="C8" s="5">
        <f t="shared" si="0"/>
        <v>53144.100000000006</v>
      </c>
      <c r="D8" s="22">
        <f t="shared" si="1"/>
        <v>478296.9</v>
      </c>
      <c r="E8" s="23">
        <f t="shared" si="6"/>
        <v>95659.38</v>
      </c>
      <c r="F8" s="5">
        <f t="shared" si="2"/>
        <v>10628.82</v>
      </c>
      <c r="G8" s="5">
        <f t="shared" si="3"/>
        <v>85030.56</v>
      </c>
    </row>
    <row r="9" spans="1:10" x14ac:dyDescent="0.2">
      <c r="A9">
        <f t="shared" si="4"/>
        <v>8</v>
      </c>
      <c r="B9" s="5">
        <f t="shared" si="5"/>
        <v>478296.9</v>
      </c>
      <c r="C9" s="5">
        <f t="shared" si="0"/>
        <v>47829.69</v>
      </c>
      <c r="D9" s="22">
        <f t="shared" si="1"/>
        <v>430467.21</v>
      </c>
      <c r="E9" s="23">
        <f t="shared" si="6"/>
        <v>86093.44200000001</v>
      </c>
      <c r="F9" s="5">
        <f t="shared" si="2"/>
        <v>9565.9380000000001</v>
      </c>
      <c r="G9" s="5">
        <f t="shared" si="3"/>
        <v>76527.504000000015</v>
      </c>
    </row>
    <row r="10" spans="1:10" x14ac:dyDescent="0.2">
      <c r="A10">
        <f t="shared" si="4"/>
        <v>9</v>
      </c>
      <c r="B10" s="5">
        <f t="shared" si="5"/>
        <v>430467.21</v>
      </c>
      <c r="C10" s="5">
        <f t="shared" si="0"/>
        <v>43046.721000000005</v>
      </c>
      <c r="D10" s="22">
        <f t="shared" si="1"/>
        <v>387420.489</v>
      </c>
      <c r="E10" s="23">
        <f t="shared" si="6"/>
        <v>77484.097800000003</v>
      </c>
      <c r="F10" s="5">
        <f t="shared" si="2"/>
        <v>8609.3442000000014</v>
      </c>
      <c r="G10" s="5">
        <f t="shared" si="3"/>
        <v>68874.753599999996</v>
      </c>
      <c r="I10" s="1" t="s">
        <v>11</v>
      </c>
    </row>
    <row r="11" spans="1:10" x14ac:dyDescent="0.2">
      <c r="A11">
        <f t="shared" si="4"/>
        <v>10</v>
      </c>
      <c r="B11" s="5">
        <f t="shared" si="5"/>
        <v>387420.489</v>
      </c>
      <c r="C11" s="5">
        <f t="shared" si="0"/>
        <v>38742.048900000002</v>
      </c>
      <c r="D11" s="22">
        <f t="shared" si="1"/>
        <v>348678.44010000001</v>
      </c>
      <c r="E11" s="23">
        <f t="shared" si="6"/>
        <v>69735.688020000001</v>
      </c>
      <c r="F11" s="5">
        <f t="shared" si="2"/>
        <v>7748.40978</v>
      </c>
      <c r="G11" s="5">
        <f t="shared" si="3"/>
        <v>61987.27824</v>
      </c>
      <c r="I11" t="s">
        <v>12</v>
      </c>
      <c r="J11" s="7">
        <f>E119</f>
        <v>1478692.0265530429</v>
      </c>
    </row>
    <row r="12" spans="1:10" x14ac:dyDescent="0.2">
      <c r="A12">
        <f t="shared" si="4"/>
        <v>11</v>
      </c>
      <c r="B12" s="5">
        <f t="shared" si="5"/>
        <v>348678.44010000001</v>
      </c>
      <c r="C12" s="5">
        <f t="shared" si="0"/>
        <v>34867.844010000001</v>
      </c>
      <c r="D12" s="22">
        <f t="shared" si="1"/>
        <v>313810.59609000001</v>
      </c>
      <c r="E12" s="23">
        <f t="shared" si="6"/>
        <v>62762.119218000007</v>
      </c>
      <c r="F12" s="5">
        <f t="shared" si="2"/>
        <v>6973.5688020000007</v>
      </c>
      <c r="G12" s="5">
        <f t="shared" si="3"/>
        <v>55788.550416000005</v>
      </c>
      <c r="I12" t="s">
        <v>13</v>
      </c>
      <c r="J12" s="7">
        <f>F119</f>
        <v>199999.11406144904</v>
      </c>
    </row>
    <row r="13" spans="1:10" x14ac:dyDescent="0.2">
      <c r="A13">
        <f t="shared" si="4"/>
        <v>12</v>
      </c>
      <c r="B13" s="5">
        <f t="shared" si="5"/>
        <v>313810.59609000001</v>
      </c>
      <c r="C13" s="5">
        <f t="shared" si="0"/>
        <v>31381.059609000004</v>
      </c>
      <c r="D13" s="22">
        <f t="shared" si="1"/>
        <v>282429.53648100002</v>
      </c>
      <c r="E13" s="23">
        <f t="shared" si="6"/>
        <v>56485.907296200006</v>
      </c>
      <c r="F13" s="5">
        <f t="shared" si="2"/>
        <v>6276.2119218000007</v>
      </c>
      <c r="G13" s="5">
        <f t="shared" si="3"/>
        <v>50209.695374400006</v>
      </c>
      <c r="I13" t="s">
        <v>14</v>
      </c>
      <c r="J13" s="24">
        <f>G119</f>
        <v>1278692.9124915928</v>
      </c>
    </row>
    <row r="14" spans="1:10" x14ac:dyDescent="0.2">
      <c r="A14">
        <f t="shared" si="4"/>
        <v>13</v>
      </c>
      <c r="B14" s="5">
        <f t="shared" si="5"/>
        <v>282429.53648100002</v>
      </c>
      <c r="C14" s="5">
        <f t="shared" si="0"/>
        <v>28242.953648100003</v>
      </c>
      <c r="D14" s="22">
        <f t="shared" si="1"/>
        <v>254186.58283290002</v>
      </c>
      <c r="E14" s="23">
        <f t="shared" si="6"/>
        <v>50837.316566580004</v>
      </c>
      <c r="F14" s="5">
        <f t="shared" si="2"/>
        <v>5648.5907296200003</v>
      </c>
      <c r="G14" s="5">
        <f t="shared" si="3"/>
        <v>45188.725836960002</v>
      </c>
      <c r="I14" t="s">
        <v>45</v>
      </c>
    </row>
    <row r="15" spans="1:10" x14ac:dyDescent="0.2">
      <c r="A15">
        <f t="shared" si="4"/>
        <v>14</v>
      </c>
      <c r="B15" s="5">
        <f t="shared" si="5"/>
        <v>254186.58283290002</v>
      </c>
      <c r="C15" s="5">
        <f t="shared" si="0"/>
        <v>25418.658283290002</v>
      </c>
      <c r="D15" s="22">
        <f t="shared" si="1"/>
        <v>228767.92454961</v>
      </c>
      <c r="E15" s="23">
        <f t="shared" si="6"/>
        <v>45753.584909922007</v>
      </c>
      <c r="F15" s="5">
        <f t="shared" si="2"/>
        <v>5083.7316566580002</v>
      </c>
      <c r="G15" s="5">
        <f t="shared" si="3"/>
        <v>40669.853253264009</v>
      </c>
      <c r="I15" t="s">
        <v>15</v>
      </c>
      <c r="J15" s="7">
        <f>D119</f>
        <v>8999960.1327652056</v>
      </c>
    </row>
    <row r="16" spans="1:10" x14ac:dyDescent="0.2">
      <c r="A16">
        <f t="shared" si="4"/>
        <v>15</v>
      </c>
      <c r="B16" s="5">
        <f t="shared" si="5"/>
        <v>228767.92454961</v>
      </c>
      <c r="C16" s="5">
        <f t="shared" si="0"/>
        <v>22876.792454961003</v>
      </c>
      <c r="D16" s="22">
        <f t="shared" si="1"/>
        <v>205891.13209464902</v>
      </c>
      <c r="E16" s="23">
        <f t="shared" si="6"/>
        <v>41178.226418929808</v>
      </c>
      <c r="F16" s="5">
        <f t="shared" si="2"/>
        <v>4575.3584909922001</v>
      </c>
      <c r="G16" s="5">
        <f t="shared" si="3"/>
        <v>36602.867927937608</v>
      </c>
      <c r="I16" t="s">
        <v>16</v>
      </c>
      <c r="J16" s="7">
        <f>C119</f>
        <v>999995.57030724606</v>
      </c>
    </row>
    <row r="17" spans="1:10" x14ac:dyDescent="0.2">
      <c r="A17">
        <f t="shared" si="4"/>
        <v>16</v>
      </c>
      <c r="B17" s="5">
        <f t="shared" si="5"/>
        <v>205891.13209464902</v>
      </c>
      <c r="C17" s="5">
        <f t="shared" si="0"/>
        <v>20589.113209464904</v>
      </c>
      <c r="D17" s="22">
        <f t="shared" si="1"/>
        <v>185302.01888518411</v>
      </c>
      <c r="E17" s="23">
        <f t="shared" si="6"/>
        <v>37060.403777036823</v>
      </c>
      <c r="F17" s="5">
        <f t="shared" si="2"/>
        <v>4117.8226418929808</v>
      </c>
      <c r="G17" s="5">
        <f t="shared" si="3"/>
        <v>32942.581135143846</v>
      </c>
    </row>
    <row r="18" spans="1:10" x14ac:dyDescent="0.2">
      <c r="A18">
        <f t="shared" si="4"/>
        <v>17</v>
      </c>
      <c r="B18" s="5">
        <f t="shared" si="5"/>
        <v>185302.01888518411</v>
      </c>
      <c r="C18" s="5">
        <f t="shared" si="0"/>
        <v>18530.201888518412</v>
      </c>
      <c r="D18" s="22">
        <f t="shared" si="1"/>
        <v>166771.8169966657</v>
      </c>
      <c r="E18" s="23">
        <f t="shared" si="6"/>
        <v>33354.363399333139</v>
      </c>
      <c r="F18" s="5">
        <f t="shared" si="2"/>
        <v>3706.0403777036822</v>
      </c>
      <c r="G18" s="5">
        <f t="shared" si="3"/>
        <v>29648.323021629458</v>
      </c>
      <c r="I18" t="s">
        <v>17</v>
      </c>
      <c r="J18">
        <f>J15/J16</f>
        <v>8.9999999999999911</v>
      </c>
    </row>
    <row r="19" spans="1:10" x14ac:dyDescent="0.2">
      <c r="A19">
        <f t="shared" si="4"/>
        <v>18</v>
      </c>
      <c r="B19" s="5">
        <f t="shared" si="5"/>
        <v>166771.8169966657</v>
      </c>
      <c r="C19" s="5">
        <f t="shared" si="0"/>
        <v>16677.181699666569</v>
      </c>
      <c r="D19" s="22">
        <f t="shared" si="1"/>
        <v>150094.63529699913</v>
      </c>
      <c r="E19" s="23">
        <f t="shared" si="6"/>
        <v>30018.927059399826</v>
      </c>
      <c r="F19" s="5">
        <f t="shared" si="2"/>
        <v>3335.4363399333142</v>
      </c>
      <c r="G19" s="5">
        <f t="shared" si="3"/>
        <v>26683.490719466514</v>
      </c>
    </row>
    <row r="20" spans="1:10" x14ac:dyDescent="0.2">
      <c r="A20">
        <f t="shared" si="4"/>
        <v>19</v>
      </c>
      <c r="B20" s="5">
        <f t="shared" si="5"/>
        <v>150094.63529699913</v>
      </c>
      <c r="C20" s="5">
        <f t="shared" si="0"/>
        <v>15009.463529699913</v>
      </c>
      <c r="D20" s="22">
        <f t="shared" si="1"/>
        <v>135085.17176729921</v>
      </c>
      <c r="E20" s="23">
        <f t="shared" si="6"/>
        <v>27017.034353459843</v>
      </c>
      <c r="F20" s="5">
        <f t="shared" si="2"/>
        <v>3001.8927059399825</v>
      </c>
      <c r="G20" s="5">
        <f t="shared" si="3"/>
        <v>24015.14164751986</v>
      </c>
      <c r="I20" t="s">
        <v>18</v>
      </c>
      <c r="J20" s="9">
        <f>J15/$B$2</f>
        <v>8.9999601327652048</v>
      </c>
    </row>
    <row r="21" spans="1:10" x14ac:dyDescent="0.2">
      <c r="A21">
        <f t="shared" si="4"/>
        <v>20</v>
      </c>
      <c r="B21" s="5">
        <f t="shared" si="5"/>
        <v>135085.17176729921</v>
      </c>
      <c r="C21" s="5">
        <f t="shared" si="0"/>
        <v>13508.517176729922</v>
      </c>
      <c r="D21" s="22">
        <f t="shared" si="1"/>
        <v>121576.65459056929</v>
      </c>
      <c r="E21" s="23">
        <f t="shared" si="6"/>
        <v>24315.330918113861</v>
      </c>
      <c r="F21" s="5">
        <f t="shared" si="2"/>
        <v>2701.7034353459844</v>
      </c>
      <c r="G21" s="5">
        <f t="shared" si="3"/>
        <v>21613.627482767875</v>
      </c>
    </row>
    <row r="22" spans="1:10" x14ac:dyDescent="0.2">
      <c r="A22">
        <f t="shared" si="4"/>
        <v>21</v>
      </c>
      <c r="B22" s="5">
        <f t="shared" si="5"/>
        <v>121576.65459056929</v>
      </c>
      <c r="C22" s="5">
        <f t="shared" si="0"/>
        <v>12157.665459056931</v>
      </c>
      <c r="D22" s="22">
        <f t="shared" si="1"/>
        <v>109418.98913151235</v>
      </c>
      <c r="E22" s="23">
        <f t="shared" si="6"/>
        <v>21883.797826302471</v>
      </c>
      <c r="F22" s="5">
        <f t="shared" si="2"/>
        <v>2431.5330918113859</v>
      </c>
      <c r="G22" s="5">
        <f t="shared" si="3"/>
        <v>19452.264734491084</v>
      </c>
    </row>
    <row r="23" spans="1:10" x14ac:dyDescent="0.2">
      <c r="A23">
        <f t="shared" si="4"/>
        <v>22</v>
      </c>
      <c r="B23" s="5">
        <f t="shared" si="5"/>
        <v>109418.98913151235</v>
      </c>
      <c r="C23" s="5">
        <f t="shared" si="0"/>
        <v>10941.898913151235</v>
      </c>
      <c r="D23" s="22">
        <f t="shared" si="1"/>
        <v>98477.090218361118</v>
      </c>
      <c r="E23" s="23">
        <f t="shared" si="6"/>
        <v>19695.418043672224</v>
      </c>
      <c r="F23" s="5">
        <f t="shared" si="2"/>
        <v>2188.3797826302471</v>
      </c>
      <c r="G23" s="5">
        <f t="shared" si="3"/>
        <v>17507.038261041977</v>
      </c>
    </row>
    <row r="24" spans="1:10" x14ac:dyDescent="0.2">
      <c r="A24">
        <f t="shared" si="4"/>
        <v>23</v>
      </c>
      <c r="B24" s="5">
        <f t="shared" si="5"/>
        <v>98477.090218361118</v>
      </c>
      <c r="C24" s="5">
        <f t="shared" si="0"/>
        <v>9847.7090218361118</v>
      </c>
      <c r="D24" s="22">
        <f t="shared" si="1"/>
        <v>88629.381196525006</v>
      </c>
      <c r="E24" s="23">
        <f t="shared" si="6"/>
        <v>17725.876239305002</v>
      </c>
      <c r="F24" s="5">
        <f t="shared" si="2"/>
        <v>1969.5418043672223</v>
      </c>
      <c r="G24" s="5">
        <f t="shared" si="3"/>
        <v>15756.33443493778</v>
      </c>
    </row>
    <row r="25" spans="1:10" x14ac:dyDescent="0.2">
      <c r="A25">
        <f t="shared" si="4"/>
        <v>24</v>
      </c>
      <c r="B25" s="5">
        <f t="shared" si="5"/>
        <v>88629.381196525006</v>
      </c>
      <c r="C25" s="5">
        <f t="shared" si="0"/>
        <v>8862.938119652501</v>
      </c>
      <c r="D25" s="22">
        <f t="shared" si="1"/>
        <v>79766.4430768725</v>
      </c>
      <c r="E25" s="23">
        <f t="shared" si="6"/>
        <v>15953.2886153745</v>
      </c>
      <c r="F25" s="5">
        <f t="shared" si="2"/>
        <v>1772.5876239305001</v>
      </c>
      <c r="G25" s="5">
        <f t="shared" si="3"/>
        <v>14180.700991444</v>
      </c>
    </row>
    <row r="26" spans="1:10" x14ac:dyDescent="0.2">
      <c r="A26">
        <f t="shared" si="4"/>
        <v>25</v>
      </c>
      <c r="B26" s="5">
        <f t="shared" si="5"/>
        <v>79766.4430768725</v>
      </c>
      <c r="C26" s="5">
        <f t="shared" si="0"/>
        <v>7976.6443076872501</v>
      </c>
      <c r="D26" s="22">
        <f t="shared" si="1"/>
        <v>71789.798769185247</v>
      </c>
      <c r="E26" s="23">
        <f t="shared" si="6"/>
        <v>14357.959753837051</v>
      </c>
      <c r="F26" s="5">
        <f t="shared" si="2"/>
        <v>1595.3288615374499</v>
      </c>
      <c r="G26" s="5">
        <f t="shared" si="3"/>
        <v>12762.630892299601</v>
      </c>
    </row>
    <row r="27" spans="1:10" x14ac:dyDescent="0.2">
      <c r="A27">
        <f t="shared" si="4"/>
        <v>26</v>
      </c>
      <c r="B27" s="5">
        <f t="shared" si="5"/>
        <v>71789.798769185247</v>
      </c>
      <c r="C27" s="5">
        <f t="shared" si="0"/>
        <v>7178.9798769185254</v>
      </c>
      <c r="D27" s="22">
        <f t="shared" si="1"/>
        <v>64610.818892266718</v>
      </c>
      <c r="E27" s="23">
        <f t="shared" si="6"/>
        <v>12922.163778453345</v>
      </c>
      <c r="F27" s="5">
        <f t="shared" si="2"/>
        <v>1435.7959753837049</v>
      </c>
      <c r="G27" s="5">
        <f t="shared" si="3"/>
        <v>11486.367803069639</v>
      </c>
    </row>
    <row r="28" spans="1:10" x14ac:dyDescent="0.2">
      <c r="A28">
        <f t="shared" si="4"/>
        <v>27</v>
      </c>
      <c r="B28" s="5">
        <f t="shared" si="5"/>
        <v>64610.818892266718</v>
      </c>
      <c r="C28" s="5">
        <f t="shared" si="0"/>
        <v>6461.0818892266725</v>
      </c>
      <c r="D28" s="22">
        <f t="shared" si="1"/>
        <v>58149.737003040049</v>
      </c>
      <c r="E28" s="23">
        <f t="shared" si="6"/>
        <v>11629.947400608011</v>
      </c>
      <c r="F28" s="5">
        <f t="shared" si="2"/>
        <v>1292.2163778453344</v>
      </c>
      <c r="G28" s="5">
        <f t="shared" si="3"/>
        <v>10337.731022762677</v>
      </c>
    </row>
    <row r="29" spans="1:10" x14ac:dyDescent="0.2">
      <c r="A29">
        <f t="shared" si="4"/>
        <v>28</v>
      </c>
      <c r="B29" s="5">
        <f t="shared" si="5"/>
        <v>58149.737003040049</v>
      </c>
      <c r="C29" s="5">
        <f t="shared" si="0"/>
        <v>5814.9737003040054</v>
      </c>
      <c r="D29" s="22">
        <f t="shared" si="1"/>
        <v>52334.763302736043</v>
      </c>
      <c r="E29" s="23">
        <f t="shared" si="6"/>
        <v>10466.952660547209</v>
      </c>
      <c r="F29" s="5">
        <f t="shared" si="2"/>
        <v>1162.994740060801</v>
      </c>
      <c r="G29" s="5">
        <f t="shared" si="3"/>
        <v>9303.9579204864076</v>
      </c>
    </row>
    <row r="30" spans="1:10" x14ac:dyDescent="0.2">
      <c r="A30">
        <f t="shared" si="4"/>
        <v>29</v>
      </c>
      <c r="B30" s="5">
        <f t="shared" si="5"/>
        <v>52334.763302736043</v>
      </c>
      <c r="C30" s="5">
        <f t="shared" si="0"/>
        <v>5233.4763302736046</v>
      </c>
      <c r="D30" s="22">
        <f t="shared" si="1"/>
        <v>47101.28697246244</v>
      </c>
      <c r="E30" s="23">
        <f t="shared" si="6"/>
        <v>9420.2573944924879</v>
      </c>
      <c r="F30" s="5">
        <f t="shared" si="2"/>
        <v>1046.6952660547208</v>
      </c>
      <c r="G30" s="5">
        <f t="shared" si="3"/>
        <v>8373.5621284377667</v>
      </c>
    </row>
    <row r="31" spans="1:10" x14ac:dyDescent="0.2">
      <c r="A31">
        <f t="shared" si="4"/>
        <v>30</v>
      </c>
      <c r="B31" s="5">
        <f t="shared" si="5"/>
        <v>47101.28697246244</v>
      </c>
      <c r="C31" s="5">
        <f t="shared" si="0"/>
        <v>4710.128697246244</v>
      </c>
      <c r="D31" s="22">
        <f t="shared" si="1"/>
        <v>42391.158275216192</v>
      </c>
      <c r="E31" s="23">
        <f t="shared" si="6"/>
        <v>8478.2316550432388</v>
      </c>
      <c r="F31" s="5">
        <f t="shared" si="2"/>
        <v>942.02573944924882</v>
      </c>
      <c r="G31" s="5">
        <f t="shared" si="3"/>
        <v>7536.2059155939896</v>
      </c>
    </row>
    <row r="32" spans="1:10" x14ac:dyDescent="0.2">
      <c r="A32">
        <f t="shared" si="4"/>
        <v>31</v>
      </c>
      <c r="B32" s="5">
        <f t="shared" si="5"/>
        <v>42391.158275216192</v>
      </c>
      <c r="C32" s="5">
        <f t="shared" si="0"/>
        <v>4239.1158275216194</v>
      </c>
      <c r="D32" s="22">
        <f t="shared" si="1"/>
        <v>38152.04244769457</v>
      </c>
      <c r="E32" s="23">
        <f t="shared" si="6"/>
        <v>7630.4084895389142</v>
      </c>
      <c r="F32" s="5">
        <f t="shared" si="2"/>
        <v>847.82316550432381</v>
      </c>
      <c r="G32" s="5">
        <f t="shared" si="3"/>
        <v>6782.5853240345905</v>
      </c>
    </row>
    <row r="33" spans="1:7" x14ac:dyDescent="0.2">
      <c r="A33">
        <f t="shared" si="4"/>
        <v>32</v>
      </c>
      <c r="B33" s="5">
        <f t="shared" si="5"/>
        <v>38152.04244769457</v>
      </c>
      <c r="C33" s="5">
        <f t="shared" si="0"/>
        <v>3815.2042447694571</v>
      </c>
      <c r="D33" s="22">
        <f t="shared" si="1"/>
        <v>34336.838202925115</v>
      </c>
      <c r="E33" s="23">
        <f t="shared" si="6"/>
        <v>6867.3676405850238</v>
      </c>
      <c r="F33" s="5">
        <f t="shared" si="2"/>
        <v>763.04084895389144</v>
      </c>
      <c r="G33" s="5">
        <f t="shared" si="3"/>
        <v>6104.3267916311324</v>
      </c>
    </row>
    <row r="34" spans="1:7" x14ac:dyDescent="0.2">
      <c r="A34">
        <f t="shared" si="4"/>
        <v>33</v>
      </c>
      <c r="B34" s="5">
        <f t="shared" si="5"/>
        <v>34336.838202925115</v>
      </c>
      <c r="C34" s="5">
        <f t="shared" si="0"/>
        <v>3433.6838202925119</v>
      </c>
      <c r="D34" s="22">
        <f t="shared" si="1"/>
        <v>30903.154382632601</v>
      </c>
      <c r="E34" s="23">
        <f t="shared" si="6"/>
        <v>6180.6308765265203</v>
      </c>
      <c r="F34" s="5">
        <f t="shared" si="2"/>
        <v>686.73676405850233</v>
      </c>
      <c r="G34" s="5">
        <f t="shared" si="3"/>
        <v>5493.8941124680177</v>
      </c>
    </row>
    <row r="35" spans="1:7" x14ac:dyDescent="0.2">
      <c r="A35">
        <f t="shared" si="4"/>
        <v>34</v>
      </c>
      <c r="B35" s="5">
        <f t="shared" si="5"/>
        <v>30903.154382632601</v>
      </c>
      <c r="C35" s="5">
        <f t="shared" si="0"/>
        <v>3090.3154382632601</v>
      </c>
      <c r="D35" s="22">
        <f t="shared" si="1"/>
        <v>27812.838944369341</v>
      </c>
      <c r="E35" s="23">
        <f t="shared" si="6"/>
        <v>5562.5677888738683</v>
      </c>
      <c r="F35" s="5">
        <f t="shared" si="2"/>
        <v>618.06308765265203</v>
      </c>
      <c r="G35" s="5">
        <f t="shared" si="3"/>
        <v>4944.5047012212162</v>
      </c>
    </row>
    <row r="36" spans="1:7" x14ac:dyDescent="0.2">
      <c r="A36">
        <f t="shared" si="4"/>
        <v>35</v>
      </c>
      <c r="B36" s="5">
        <f t="shared" si="5"/>
        <v>27812.838944369341</v>
      </c>
      <c r="C36" s="5">
        <f t="shared" si="0"/>
        <v>2781.2838944369341</v>
      </c>
      <c r="D36" s="22">
        <f t="shared" si="1"/>
        <v>25031.555049932409</v>
      </c>
      <c r="E36" s="23">
        <f t="shared" si="6"/>
        <v>5006.3110099864825</v>
      </c>
      <c r="F36" s="5">
        <f t="shared" si="2"/>
        <v>556.25677888738687</v>
      </c>
      <c r="G36" s="5">
        <f t="shared" si="3"/>
        <v>4450.0542310990959</v>
      </c>
    </row>
    <row r="37" spans="1:7" x14ac:dyDescent="0.2">
      <c r="A37">
        <f t="shared" si="4"/>
        <v>36</v>
      </c>
      <c r="B37" s="5">
        <f t="shared" si="5"/>
        <v>25031.555049932409</v>
      </c>
      <c r="C37" s="5">
        <f t="shared" si="0"/>
        <v>2503.1555049932413</v>
      </c>
      <c r="D37" s="22">
        <f t="shared" si="1"/>
        <v>22528.399544939166</v>
      </c>
      <c r="E37" s="23">
        <f t="shared" si="6"/>
        <v>4505.6799089878332</v>
      </c>
      <c r="F37" s="5">
        <f t="shared" si="2"/>
        <v>500.63110099864821</v>
      </c>
      <c r="G37" s="5">
        <f t="shared" si="3"/>
        <v>4005.0488079891848</v>
      </c>
    </row>
    <row r="38" spans="1:7" x14ac:dyDescent="0.2">
      <c r="A38">
        <f t="shared" si="4"/>
        <v>37</v>
      </c>
      <c r="B38" s="5">
        <f t="shared" si="5"/>
        <v>22528.399544939166</v>
      </c>
      <c r="C38" s="5">
        <f t="shared" si="0"/>
        <v>2252.8399544939166</v>
      </c>
      <c r="D38" s="22">
        <f t="shared" si="1"/>
        <v>20275.559590445249</v>
      </c>
      <c r="E38" s="23">
        <f t="shared" si="6"/>
        <v>4055.1119180890501</v>
      </c>
      <c r="F38" s="5">
        <f t="shared" si="2"/>
        <v>450.56799089878331</v>
      </c>
      <c r="G38" s="5">
        <f t="shared" si="3"/>
        <v>3604.5439271902669</v>
      </c>
    </row>
    <row r="39" spans="1:7" x14ac:dyDescent="0.2">
      <c r="A39">
        <f t="shared" si="4"/>
        <v>38</v>
      </c>
      <c r="B39" s="5">
        <f t="shared" si="5"/>
        <v>20275.559590445249</v>
      </c>
      <c r="C39" s="5">
        <f t="shared" si="0"/>
        <v>2027.555959044525</v>
      </c>
      <c r="D39" s="22">
        <f t="shared" si="1"/>
        <v>18248.003631400723</v>
      </c>
      <c r="E39" s="23">
        <f t="shared" si="6"/>
        <v>3649.600726280145</v>
      </c>
      <c r="F39" s="5">
        <f t="shared" si="2"/>
        <v>405.51119180890498</v>
      </c>
      <c r="G39" s="5">
        <f t="shared" si="3"/>
        <v>3244.0895344712399</v>
      </c>
    </row>
    <row r="40" spans="1:7" x14ac:dyDescent="0.2">
      <c r="A40">
        <f t="shared" si="4"/>
        <v>39</v>
      </c>
      <c r="B40" s="5">
        <f t="shared" si="5"/>
        <v>18248.003631400723</v>
      </c>
      <c r="C40" s="5">
        <f t="shared" si="0"/>
        <v>1824.8003631400725</v>
      </c>
      <c r="D40" s="22">
        <f t="shared" si="1"/>
        <v>16423.203268260651</v>
      </c>
      <c r="E40" s="23">
        <f t="shared" si="6"/>
        <v>3284.6406536521304</v>
      </c>
      <c r="F40" s="5">
        <f t="shared" si="2"/>
        <v>364.96007262801447</v>
      </c>
      <c r="G40" s="5">
        <f t="shared" si="3"/>
        <v>2919.6805810241158</v>
      </c>
    </row>
    <row r="41" spans="1:7" x14ac:dyDescent="0.2">
      <c r="A41">
        <f t="shared" si="4"/>
        <v>40</v>
      </c>
      <c r="B41" s="5">
        <f t="shared" si="5"/>
        <v>16423.203268260651</v>
      </c>
      <c r="C41" s="5">
        <f t="shared" si="0"/>
        <v>1642.3203268260652</v>
      </c>
      <c r="D41" s="22">
        <f t="shared" si="1"/>
        <v>14780.882941434586</v>
      </c>
      <c r="E41" s="23">
        <f t="shared" si="6"/>
        <v>2956.1765882869172</v>
      </c>
      <c r="F41" s="5">
        <f t="shared" si="2"/>
        <v>328.46406536521306</v>
      </c>
      <c r="G41" s="5">
        <f t="shared" si="3"/>
        <v>2627.712522921704</v>
      </c>
    </row>
    <row r="42" spans="1:7" x14ac:dyDescent="0.2">
      <c r="A42">
        <f t="shared" si="4"/>
        <v>41</v>
      </c>
      <c r="B42" s="5">
        <f t="shared" si="5"/>
        <v>14780.882941434586</v>
      </c>
      <c r="C42" s="5">
        <f t="shared" si="0"/>
        <v>1478.0882941434586</v>
      </c>
      <c r="D42" s="22">
        <f t="shared" si="1"/>
        <v>13302.794647291126</v>
      </c>
      <c r="E42" s="23">
        <f t="shared" si="6"/>
        <v>2660.5589294582255</v>
      </c>
      <c r="F42" s="5">
        <f t="shared" si="2"/>
        <v>295.61765882869173</v>
      </c>
      <c r="G42" s="5">
        <f t="shared" si="3"/>
        <v>2364.9412706295338</v>
      </c>
    </row>
    <row r="43" spans="1:7" x14ac:dyDescent="0.2">
      <c r="A43">
        <f t="shared" si="4"/>
        <v>42</v>
      </c>
      <c r="B43" s="5">
        <f t="shared" si="5"/>
        <v>13302.794647291126</v>
      </c>
      <c r="C43" s="5">
        <f t="shared" si="0"/>
        <v>1330.2794647291128</v>
      </c>
      <c r="D43" s="22">
        <f t="shared" si="1"/>
        <v>11972.515182562014</v>
      </c>
      <c r="E43" s="23">
        <f t="shared" si="6"/>
        <v>2394.503036512403</v>
      </c>
      <c r="F43" s="5">
        <f t="shared" si="2"/>
        <v>266.05589294582251</v>
      </c>
      <c r="G43" s="5">
        <f t="shared" si="3"/>
        <v>2128.4471435665805</v>
      </c>
    </row>
    <row r="44" spans="1:7" x14ac:dyDescent="0.2">
      <c r="A44">
        <f t="shared" si="4"/>
        <v>43</v>
      </c>
      <c r="B44" s="5">
        <f t="shared" si="5"/>
        <v>11972.515182562014</v>
      </c>
      <c r="C44" s="5">
        <f t="shared" si="0"/>
        <v>1197.2515182562015</v>
      </c>
      <c r="D44" s="22">
        <f t="shared" si="1"/>
        <v>10775.263664305812</v>
      </c>
      <c r="E44" s="23">
        <f t="shared" si="6"/>
        <v>2155.0527328611624</v>
      </c>
      <c r="F44" s="5">
        <f t="shared" si="2"/>
        <v>239.45030365124029</v>
      </c>
      <c r="G44" s="5">
        <f t="shared" si="3"/>
        <v>1915.6024292099221</v>
      </c>
    </row>
    <row r="45" spans="1:7" x14ac:dyDescent="0.2">
      <c r="A45">
        <f t="shared" si="4"/>
        <v>44</v>
      </c>
      <c r="B45" s="5">
        <f t="shared" si="5"/>
        <v>10775.263664305812</v>
      </c>
      <c r="C45" s="5">
        <f t="shared" si="0"/>
        <v>1077.5263664305812</v>
      </c>
      <c r="D45" s="22">
        <f t="shared" si="1"/>
        <v>9697.7372978752319</v>
      </c>
      <c r="E45" s="23">
        <f t="shared" si="6"/>
        <v>1939.5474595750466</v>
      </c>
      <c r="F45" s="5">
        <f t="shared" si="2"/>
        <v>215.50527328611625</v>
      </c>
      <c r="G45" s="5">
        <f t="shared" si="3"/>
        <v>1724.0421862889302</v>
      </c>
    </row>
    <row r="46" spans="1:7" x14ac:dyDescent="0.2">
      <c r="A46">
        <f t="shared" si="4"/>
        <v>45</v>
      </c>
      <c r="B46" s="5">
        <f t="shared" si="5"/>
        <v>9697.7372978752319</v>
      </c>
      <c r="C46" s="5">
        <f t="shared" si="0"/>
        <v>969.77372978752328</v>
      </c>
      <c r="D46" s="22">
        <f t="shared" si="1"/>
        <v>8727.9635680877091</v>
      </c>
      <c r="E46" s="23">
        <f t="shared" si="6"/>
        <v>1745.5927136175419</v>
      </c>
      <c r="F46" s="5">
        <f t="shared" si="2"/>
        <v>193.95474595750466</v>
      </c>
      <c r="G46" s="5">
        <f t="shared" si="3"/>
        <v>1551.6379676600372</v>
      </c>
    </row>
    <row r="47" spans="1:7" x14ac:dyDescent="0.2">
      <c r="A47">
        <f t="shared" si="4"/>
        <v>46</v>
      </c>
      <c r="B47" s="5">
        <f t="shared" si="5"/>
        <v>8727.9635680877091</v>
      </c>
      <c r="C47" s="5">
        <f t="shared" si="0"/>
        <v>872.79635680877095</v>
      </c>
      <c r="D47" s="22">
        <f t="shared" si="1"/>
        <v>7855.1672112789383</v>
      </c>
      <c r="E47" s="23">
        <f t="shared" si="6"/>
        <v>1571.0334422557878</v>
      </c>
      <c r="F47" s="5">
        <f t="shared" si="2"/>
        <v>174.55927136175418</v>
      </c>
      <c r="G47" s="5">
        <f t="shared" si="3"/>
        <v>1396.4741708940337</v>
      </c>
    </row>
    <row r="48" spans="1:7" x14ac:dyDescent="0.2">
      <c r="A48">
        <f t="shared" si="4"/>
        <v>47</v>
      </c>
      <c r="B48" s="5">
        <f t="shared" si="5"/>
        <v>7855.1672112789383</v>
      </c>
      <c r="C48" s="5">
        <f t="shared" si="0"/>
        <v>785.5167211278939</v>
      </c>
      <c r="D48" s="22">
        <f t="shared" si="1"/>
        <v>7069.6504901510443</v>
      </c>
      <c r="E48" s="23">
        <f t="shared" si="6"/>
        <v>1413.9300980302089</v>
      </c>
      <c r="F48" s="5">
        <f t="shared" si="2"/>
        <v>157.10334422557878</v>
      </c>
      <c r="G48" s="5">
        <f t="shared" si="3"/>
        <v>1256.8267538046302</v>
      </c>
    </row>
    <row r="49" spans="1:7" x14ac:dyDescent="0.2">
      <c r="A49">
        <f t="shared" si="4"/>
        <v>48</v>
      </c>
      <c r="B49" s="5">
        <f t="shared" si="5"/>
        <v>7069.6504901510443</v>
      </c>
      <c r="C49" s="5">
        <f t="shared" si="0"/>
        <v>706.96504901510446</v>
      </c>
      <c r="D49" s="22">
        <f t="shared" si="1"/>
        <v>6362.68544113594</v>
      </c>
      <c r="E49" s="23">
        <f t="shared" si="6"/>
        <v>1272.5370882271882</v>
      </c>
      <c r="F49" s="5">
        <f t="shared" si="2"/>
        <v>141.3930098030209</v>
      </c>
      <c r="G49" s="5">
        <f t="shared" si="3"/>
        <v>1131.1440784241672</v>
      </c>
    </row>
    <row r="50" spans="1:7" x14ac:dyDescent="0.2">
      <c r="A50">
        <f t="shared" si="4"/>
        <v>49</v>
      </c>
      <c r="B50" s="5">
        <f t="shared" si="5"/>
        <v>6362.68544113594</v>
      </c>
      <c r="C50" s="5">
        <f t="shared" si="0"/>
        <v>636.26854411359409</v>
      </c>
      <c r="D50" s="22">
        <f t="shared" si="1"/>
        <v>5726.4168970223454</v>
      </c>
      <c r="E50" s="23">
        <f t="shared" si="6"/>
        <v>1145.2833794044691</v>
      </c>
      <c r="F50" s="5">
        <f t="shared" si="2"/>
        <v>127.25370882271881</v>
      </c>
      <c r="G50" s="5">
        <f t="shared" si="3"/>
        <v>1018.0296705817502</v>
      </c>
    </row>
    <row r="51" spans="1:7" x14ac:dyDescent="0.2">
      <c r="A51">
        <f t="shared" si="4"/>
        <v>50</v>
      </c>
      <c r="B51" s="5">
        <f t="shared" si="5"/>
        <v>5726.4168970223454</v>
      </c>
      <c r="C51" s="5">
        <f t="shared" si="0"/>
        <v>572.64168970223454</v>
      </c>
      <c r="D51" s="22">
        <f t="shared" si="1"/>
        <v>5153.7752073201109</v>
      </c>
      <c r="E51" s="23">
        <f t="shared" si="6"/>
        <v>1030.7550414640223</v>
      </c>
      <c r="F51" s="5">
        <f t="shared" si="2"/>
        <v>114.52833794044692</v>
      </c>
      <c r="G51" s="5">
        <f t="shared" si="3"/>
        <v>916.22670352357534</v>
      </c>
    </row>
    <row r="52" spans="1:7" x14ac:dyDescent="0.2">
      <c r="A52">
        <f t="shared" si="4"/>
        <v>51</v>
      </c>
      <c r="B52" s="5">
        <f t="shared" si="5"/>
        <v>5153.7752073201109</v>
      </c>
      <c r="C52" s="5">
        <f t="shared" si="0"/>
        <v>515.37752073201113</v>
      </c>
      <c r="D52" s="22">
        <f t="shared" si="1"/>
        <v>4638.3976865880995</v>
      </c>
      <c r="E52" s="23">
        <f t="shared" si="6"/>
        <v>927.67953731761997</v>
      </c>
      <c r="F52" s="5">
        <f t="shared" si="2"/>
        <v>103.07550414640222</v>
      </c>
      <c r="G52" s="5">
        <f t="shared" si="3"/>
        <v>824.60403317121779</v>
      </c>
    </row>
    <row r="53" spans="1:7" x14ac:dyDescent="0.2">
      <c r="A53">
        <f t="shared" si="4"/>
        <v>52</v>
      </c>
      <c r="B53" s="5">
        <f t="shared" si="5"/>
        <v>4638.3976865880995</v>
      </c>
      <c r="C53" s="5">
        <f t="shared" si="0"/>
        <v>463.83976865880999</v>
      </c>
      <c r="D53" s="22">
        <f t="shared" si="1"/>
        <v>4174.5579179292899</v>
      </c>
      <c r="E53" s="23">
        <f t="shared" si="6"/>
        <v>834.91158358585801</v>
      </c>
      <c r="F53" s="5">
        <f t="shared" si="2"/>
        <v>92.767953731761992</v>
      </c>
      <c r="G53" s="5">
        <f t="shared" si="3"/>
        <v>742.14362985409605</v>
      </c>
    </row>
    <row r="54" spans="1:7" x14ac:dyDescent="0.2">
      <c r="A54">
        <f t="shared" si="4"/>
        <v>53</v>
      </c>
      <c r="B54" s="5">
        <f t="shared" si="5"/>
        <v>4174.5579179292899</v>
      </c>
      <c r="C54" s="5">
        <f t="shared" si="0"/>
        <v>417.45579179292901</v>
      </c>
      <c r="D54" s="22">
        <f t="shared" si="1"/>
        <v>3757.1021261363608</v>
      </c>
      <c r="E54" s="23">
        <f t="shared" si="6"/>
        <v>751.42042522727218</v>
      </c>
      <c r="F54" s="5">
        <f t="shared" si="2"/>
        <v>83.491158358585807</v>
      </c>
      <c r="G54" s="5">
        <f t="shared" si="3"/>
        <v>667.92926686868634</v>
      </c>
    </row>
    <row r="55" spans="1:7" x14ac:dyDescent="0.2">
      <c r="A55">
        <f t="shared" si="4"/>
        <v>54</v>
      </c>
      <c r="B55" s="5">
        <f t="shared" si="5"/>
        <v>3757.1021261363608</v>
      </c>
      <c r="C55" s="5">
        <f t="shared" si="0"/>
        <v>375.71021261363609</v>
      </c>
      <c r="D55" s="22">
        <f t="shared" si="1"/>
        <v>3381.3919135227247</v>
      </c>
      <c r="E55" s="23">
        <f t="shared" si="6"/>
        <v>676.27838270454504</v>
      </c>
      <c r="F55" s="5">
        <f t="shared" si="2"/>
        <v>75.142042522727223</v>
      </c>
      <c r="G55" s="5">
        <f t="shared" si="3"/>
        <v>601.13634018181779</v>
      </c>
    </row>
    <row r="56" spans="1:7" x14ac:dyDescent="0.2">
      <c r="A56">
        <f t="shared" si="4"/>
        <v>55</v>
      </c>
      <c r="B56" s="5">
        <f t="shared" si="5"/>
        <v>3381.3919135227247</v>
      </c>
      <c r="C56" s="5">
        <f t="shared" si="0"/>
        <v>338.13919135227252</v>
      </c>
      <c r="D56" s="22">
        <f t="shared" si="1"/>
        <v>3043.2527221704522</v>
      </c>
      <c r="E56" s="23">
        <f t="shared" si="6"/>
        <v>608.65054443409042</v>
      </c>
      <c r="F56" s="5">
        <f t="shared" si="2"/>
        <v>67.62783827045449</v>
      </c>
      <c r="G56" s="5">
        <f t="shared" si="3"/>
        <v>541.02270616363592</v>
      </c>
    </row>
    <row r="57" spans="1:7" x14ac:dyDescent="0.2">
      <c r="A57">
        <f t="shared" si="4"/>
        <v>56</v>
      </c>
      <c r="B57" s="5">
        <f t="shared" si="5"/>
        <v>3043.2527221704522</v>
      </c>
      <c r="C57" s="5">
        <f t="shared" si="0"/>
        <v>304.32527221704521</v>
      </c>
      <c r="D57" s="22">
        <f t="shared" si="1"/>
        <v>2738.9274499534072</v>
      </c>
      <c r="E57" s="23">
        <f t="shared" si="6"/>
        <v>547.78548999068141</v>
      </c>
      <c r="F57" s="5">
        <f t="shared" si="2"/>
        <v>60.865054443409043</v>
      </c>
      <c r="G57" s="5">
        <f t="shared" si="3"/>
        <v>486.92043554727235</v>
      </c>
    </row>
    <row r="58" spans="1:7" x14ac:dyDescent="0.2">
      <c r="A58">
        <f t="shared" si="4"/>
        <v>57</v>
      </c>
      <c r="B58" s="5">
        <f t="shared" si="5"/>
        <v>2738.9274499534072</v>
      </c>
      <c r="C58" s="5">
        <f t="shared" si="0"/>
        <v>273.89274499534071</v>
      </c>
      <c r="D58" s="22">
        <f t="shared" si="1"/>
        <v>2465.0347049580664</v>
      </c>
      <c r="E58" s="23">
        <f t="shared" si="6"/>
        <v>493.00694099161331</v>
      </c>
      <c r="F58" s="5">
        <f t="shared" si="2"/>
        <v>54.778548999068143</v>
      </c>
      <c r="G58" s="5">
        <f t="shared" si="3"/>
        <v>438.22839199254514</v>
      </c>
    </row>
    <row r="59" spans="1:7" x14ac:dyDescent="0.2">
      <c r="A59">
        <f t="shared" si="4"/>
        <v>58</v>
      </c>
      <c r="B59" s="5">
        <f t="shared" si="5"/>
        <v>2465.0347049580664</v>
      </c>
      <c r="C59" s="5">
        <f t="shared" si="0"/>
        <v>246.50347049580665</v>
      </c>
      <c r="D59" s="22">
        <f t="shared" si="1"/>
        <v>2218.5312344622598</v>
      </c>
      <c r="E59" s="23">
        <f t="shared" si="6"/>
        <v>443.70624689245199</v>
      </c>
      <c r="F59" s="5">
        <f t="shared" si="2"/>
        <v>49.300694099161326</v>
      </c>
      <c r="G59" s="5">
        <f t="shared" si="3"/>
        <v>394.40555279329067</v>
      </c>
    </row>
    <row r="60" spans="1:7" x14ac:dyDescent="0.2">
      <c r="A60">
        <f t="shared" si="4"/>
        <v>59</v>
      </c>
      <c r="B60" s="5">
        <f t="shared" si="5"/>
        <v>2218.5312344622598</v>
      </c>
      <c r="C60" s="5">
        <f t="shared" si="0"/>
        <v>221.85312344622599</v>
      </c>
      <c r="D60" s="22">
        <f t="shared" si="1"/>
        <v>1996.6781110160339</v>
      </c>
      <c r="E60" s="23">
        <f t="shared" si="6"/>
        <v>399.33562220320681</v>
      </c>
      <c r="F60" s="5">
        <f t="shared" si="2"/>
        <v>44.370624689245197</v>
      </c>
      <c r="G60" s="5">
        <f t="shared" si="3"/>
        <v>354.96499751396163</v>
      </c>
    </row>
    <row r="61" spans="1:7" x14ac:dyDescent="0.2">
      <c r="A61">
        <f t="shared" si="4"/>
        <v>60</v>
      </c>
      <c r="B61" s="5">
        <f t="shared" si="5"/>
        <v>1996.6781110160339</v>
      </c>
      <c r="C61" s="5">
        <f t="shared" si="0"/>
        <v>199.66781110160341</v>
      </c>
      <c r="D61" s="22">
        <f t="shared" si="1"/>
        <v>1797.0102999144306</v>
      </c>
      <c r="E61" s="23">
        <f t="shared" si="6"/>
        <v>359.40205998288616</v>
      </c>
      <c r="F61" s="5">
        <f t="shared" si="2"/>
        <v>39.933562220320681</v>
      </c>
      <c r="G61" s="5">
        <f t="shared" si="3"/>
        <v>319.46849776256545</v>
      </c>
    </row>
    <row r="62" spans="1:7" x14ac:dyDescent="0.2">
      <c r="A62">
        <f t="shared" si="4"/>
        <v>61</v>
      </c>
      <c r="B62" s="5">
        <f t="shared" si="5"/>
        <v>1797.0102999144306</v>
      </c>
      <c r="C62" s="5">
        <f t="shared" si="0"/>
        <v>179.70102999144308</v>
      </c>
      <c r="D62" s="22">
        <f t="shared" si="1"/>
        <v>1617.3092699229874</v>
      </c>
      <c r="E62" s="23">
        <f t="shared" si="6"/>
        <v>323.4618539845975</v>
      </c>
      <c r="F62" s="5">
        <f t="shared" si="2"/>
        <v>35.940205998288612</v>
      </c>
      <c r="G62" s="5">
        <f t="shared" si="3"/>
        <v>287.52164798630889</v>
      </c>
    </row>
    <row r="63" spans="1:7" x14ac:dyDescent="0.2">
      <c r="A63">
        <f t="shared" si="4"/>
        <v>62</v>
      </c>
      <c r="B63" s="5">
        <f t="shared" si="5"/>
        <v>1617.3092699229874</v>
      </c>
      <c r="C63" s="5">
        <f t="shared" si="0"/>
        <v>161.73092699229875</v>
      </c>
      <c r="D63" s="22">
        <f t="shared" si="1"/>
        <v>1455.5783429306887</v>
      </c>
      <c r="E63" s="23">
        <f t="shared" si="6"/>
        <v>291.11566858613776</v>
      </c>
      <c r="F63" s="5">
        <f t="shared" si="2"/>
        <v>32.346185398459745</v>
      </c>
      <c r="G63" s="5">
        <f t="shared" si="3"/>
        <v>258.76948318767802</v>
      </c>
    </row>
    <row r="64" spans="1:7" x14ac:dyDescent="0.2">
      <c r="A64">
        <f t="shared" si="4"/>
        <v>63</v>
      </c>
      <c r="B64" s="5">
        <f t="shared" si="5"/>
        <v>1455.5783429306887</v>
      </c>
      <c r="C64" s="5">
        <f t="shared" si="0"/>
        <v>145.55783429306888</v>
      </c>
      <c r="D64" s="22">
        <f t="shared" si="1"/>
        <v>1310.0205086376197</v>
      </c>
      <c r="E64" s="23">
        <f t="shared" si="6"/>
        <v>262.00410172752396</v>
      </c>
      <c r="F64" s="5">
        <f t="shared" si="2"/>
        <v>29.111566858613774</v>
      </c>
      <c r="G64" s="5">
        <f t="shared" si="3"/>
        <v>232.89253486891019</v>
      </c>
    </row>
    <row r="65" spans="1:7" x14ac:dyDescent="0.2">
      <c r="A65">
        <f t="shared" si="4"/>
        <v>64</v>
      </c>
      <c r="B65" s="5">
        <f t="shared" si="5"/>
        <v>1310.0205086376197</v>
      </c>
      <c r="C65" s="5">
        <f t="shared" si="0"/>
        <v>131.00205086376198</v>
      </c>
      <c r="D65" s="22">
        <f t="shared" si="1"/>
        <v>1179.0184577738578</v>
      </c>
      <c r="E65" s="23">
        <f t="shared" si="6"/>
        <v>235.80369155477158</v>
      </c>
      <c r="F65" s="5">
        <f t="shared" si="2"/>
        <v>26.200410172752395</v>
      </c>
      <c r="G65" s="5">
        <f t="shared" si="3"/>
        <v>209.60328138201919</v>
      </c>
    </row>
    <row r="66" spans="1:7" x14ac:dyDescent="0.2">
      <c r="A66">
        <f t="shared" si="4"/>
        <v>65</v>
      </c>
      <c r="B66" s="5">
        <f t="shared" si="5"/>
        <v>1179.0184577738578</v>
      </c>
      <c r="C66" s="5">
        <f t="shared" si="0"/>
        <v>117.90184577738579</v>
      </c>
      <c r="D66" s="22">
        <f t="shared" si="1"/>
        <v>1061.1166119964721</v>
      </c>
      <c r="E66" s="23">
        <f t="shared" si="6"/>
        <v>212.22332239929443</v>
      </c>
      <c r="F66" s="5">
        <f t="shared" si="2"/>
        <v>23.580369155477158</v>
      </c>
      <c r="G66" s="5">
        <f t="shared" si="3"/>
        <v>188.64295324381726</v>
      </c>
    </row>
    <row r="67" spans="1:7" x14ac:dyDescent="0.2">
      <c r="A67">
        <f t="shared" si="4"/>
        <v>66</v>
      </c>
      <c r="B67" s="5">
        <f t="shared" si="5"/>
        <v>1061.1166119964721</v>
      </c>
      <c r="C67" s="5">
        <f t="shared" ref="C67:C118" si="7">B67*$J$2</f>
        <v>106.11166119964722</v>
      </c>
      <c r="D67" s="22">
        <f t="shared" ref="D67:D118" si="8">B67-C67</f>
        <v>955.00495079682491</v>
      </c>
      <c r="E67" s="23">
        <f t="shared" si="6"/>
        <v>191.00099015936499</v>
      </c>
      <c r="F67" s="5">
        <f t="shared" ref="F67:F118" si="9">B67*$J$3</f>
        <v>21.222332239929443</v>
      </c>
      <c r="G67" s="5">
        <f t="shared" ref="G67:G118" si="10">E67-F67</f>
        <v>169.77865791943555</v>
      </c>
    </row>
    <row r="68" spans="1:7" x14ac:dyDescent="0.2">
      <c r="A68">
        <f t="shared" ref="A68:A118" si="11">+A67+1</f>
        <v>67</v>
      </c>
      <c r="B68" s="5">
        <f t="shared" ref="B68:B118" si="12">D67</f>
        <v>955.00495079682491</v>
      </c>
      <c r="C68" s="5">
        <f t="shared" si="7"/>
        <v>95.500495079682494</v>
      </c>
      <c r="D68" s="22">
        <f t="shared" si="8"/>
        <v>859.50445571714238</v>
      </c>
      <c r="E68" s="23">
        <f t="shared" si="6"/>
        <v>171.90089114342848</v>
      </c>
      <c r="F68" s="5">
        <f t="shared" si="9"/>
        <v>19.1000990159365</v>
      </c>
      <c r="G68" s="5">
        <f t="shared" si="10"/>
        <v>152.80079212749197</v>
      </c>
    </row>
    <row r="69" spans="1:7" x14ac:dyDescent="0.2">
      <c r="A69">
        <f t="shared" si="11"/>
        <v>68</v>
      </c>
      <c r="B69" s="5">
        <f t="shared" si="12"/>
        <v>859.50445571714238</v>
      </c>
      <c r="C69" s="5">
        <f t="shared" si="7"/>
        <v>85.950445571714241</v>
      </c>
      <c r="D69" s="22">
        <f t="shared" si="8"/>
        <v>773.55401014542815</v>
      </c>
      <c r="E69" s="23">
        <f t="shared" si="6"/>
        <v>154.71080202908564</v>
      </c>
      <c r="F69" s="5">
        <f t="shared" si="9"/>
        <v>17.190089114342847</v>
      </c>
      <c r="G69" s="5">
        <f t="shared" si="10"/>
        <v>137.5207129147428</v>
      </c>
    </row>
    <row r="70" spans="1:7" x14ac:dyDescent="0.2">
      <c r="A70">
        <f t="shared" si="11"/>
        <v>69</v>
      </c>
      <c r="B70" s="5">
        <f t="shared" si="12"/>
        <v>773.55401014542815</v>
      </c>
      <c r="C70" s="5">
        <f t="shared" si="7"/>
        <v>77.355401014542821</v>
      </c>
      <c r="D70" s="22">
        <f t="shared" si="8"/>
        <v>696.1986091308853</v>
      </c>
      <c r="E70" s="23">
        <f t="shared" si="6"/>
        <v>139.23972182617706</v>
      </c>
      <c r="F70" s="5">
        <f t="shared" si="9"/>
        <v>15.471080202908563</v>
      </c>
      <c r="G70" s="5">
        <f t="shared" si="10"/>
        <v>123.76864162326849</v>
      </c>
    </row>
    <row r="71" spans="1:7" x14ac:dyDescent="0.2">
      <c r="A71">
        <f t="shared" si="11"/>
        <v>70</v>
      </c>
      <c r="B71" s="5">
        <f t="shared" si="12"/>
        <v>696.1986091308853</v>
      </c>
      <c r="C71" s="5">
        <f t="shared" si="7"/>
        <v>69.61986091308853</v>
      </c>
      <c r="D71" s="22">
        <f t="shared" si="8"/>
        <v>626.57874821779683</v>
      </c>
      <c r="E71" s="23">
        <f t="shared" ref="E71:E118" si="13">+D71*$J$7</f>
        <v>125.31574964355937</v>
      </c>
      <c r="F71" s="5">
        <f t="shared" si="9"/>
        <v>13.923972182617707</v>
      </c>
      <c r="G71" s="5">
        <f t="shared" si="10"/>
        <v>111.39177746094167</v>
      </c>
    </row>
    <row r="72" spans="1:7" x14ac:dyDescent="0.2">
      <c r="A72">
        <f t="shared" si="11"/>
        <v>71</v>
      </c>
      <c r="B72" s="5">
        <f t="shared" si="12"/>
        <v>626.57874821779683</v>
      </c>
      <c r="C72" s="5">
        <f t="shared" si="7"/>
        <v>62.657874821779686</v>
      </c>
      <c r="D72" s="22">
        <f t="shared" si="8"/>
        <v>563.9208733960171</v>
      </c>
      <c r="E72" s="23">
        <f t="shared" si="13"/>
        <v>112.78417467920343</v>
      </c>
      <c r="F72" s="5">
        <f t="shared" si="9"/>
        <v>12.531574964355936</v>
      </c>
      <c r="G72" s="5">
        <f t="shared" si="10"/>
        <v>100.25259971484749</v>
      </c>
    </row>
    <row r="73" spans="1:7" x14ac:dyDescent="0.2">
      <c r="A73">
        <f t="shared" si="11"/>
        <v>72</v>
      </c>
      <c r="B73" s="5">
        <f t="shared" si="12"/>
        <v>563.9208733960171</v>
      </c>
      <c r="C73" s="5">
        <f t="shared" si="7"/>
        <v>56.392087339601716</v>
      </c>
      <c r="D73" s="22">
        <f t="shared" si="8"/>
        <v>507.52878605641536</v>
      </c>
      <c r="E73" s="23">
        <f t="shared" si="13"/>
        <v>101.50575721128308</v>
      </c>
      <c r="F73" s="5">
        <f t="shared" si="9"/>
        <v>11.278417467920342</v>
      </c>
      <c r="G73" s="5">
        <f t="shared" si="10"/>
        <v>90.227339743362734</v>
      </c>
    </row>
    <row r="74" spans="1:7" x14ac:dyDescent="0.2">
      <c r="A74">
        <f t="shared" si="11"/>
        <v>73</v>
      </c>
      <c r="B74" s="5">
        <f t="shared" si="12"/>
        <v>507.52878605641536</v>
      </c>
      <c r="C74" s="5">
        <f t="shared" si="7"/>
        <v>50.752878605641541</v>
      </c>
      <c r="D74" s="22">
        <f t="shared" si="8"/>
        <v>456.77590745077384</v>
      </c>
      <c r="E74" s="23">
        <f t="shared" si="13"/>
        <v>91.355181490154777</v>
      </c>
      <c r="F74" s="5">
        <f t="shared" si="9"/>
        <v>10.150575721128307</v>
      </c>
      <c r="G74" s="5">
        <f t="shared" si="10"/>
        <v>81.204605769026472</v>
      </c>
    </row>
    <row r="75" spans="1:7" x14ac:dyDescent="0.2">
      <c r="A75">
        <f t="shared" si="11"/>
        <v>74</v>
      </c>
      <c r="B75" s="5">
        <f t="shared" si="12"/>
        <v>456.77590745077384</v>
      </c>
      <c r="C75" s="5">
        <f t="shared" si="7"/>
        <v>45.677590745077389</v>
      </c>
      <c r="D75" s="22">
        <f t="shared" si="8"/>
        <v>411.09831670569645</v>
      </c>
      <c r="E75" s="23">
        <f t="shared" si="13"/>
        <v>82.219663341139295</v>
      </c>
      <c r="F75" s="5">
        <f t="shared" si="9"/>
        <v>9.1355181490154767</v>
      </c>
      <c r="G75" s="5">
        <f t="shared" si="10"/>
        <v>73.084145192123813</v>
      </c>
    </row>
    <row r="76" spans="1:7" x14ac:dyDescent="0.2">
      <c r="A76">
        <f t="shared" si="11"/>
        <v>75</v>
      </c>
      <c r="B76" s="5">
        <f t="shared" si="12"/>
        <v>411.09831670569645</v>
      </c>
      <c r="C76" s="5">
        <f t="shared" si="7"/>
        <v>41.109831670569648</v>
      </c>
      <c r="D76" s="22">
        <f t="shared" si="8"/>
        <v>369.98848503512681</v>
      </c>
      <c r="E76" s="23">
        <f t="shared" si="13"/>
        <v>73.997697007025366</v>
      </c>
      <c r="F76" s="5">
        <f t="shared" si="9"/>
        <v>8.2219663341139295</v>
      </c>
      <c r="G76" s="5">
        <f t="shared" si="10"/>
        <v>65.775730672911436</v>
      </c>
    </row>
    <row r="77" spans="1:7" x14ac:dyDescent="0.2">
      <c r="A77">
        <f t="shared" si="11"/>
        <v>76</v>
      </c>
      <c r="B77" s="5">
        <f t="shared" si="12"/>
        <v>369.98848503512681</v>
      </c>
      <c r="C77" s="5">
        <f t="shared" si="7"/>
        <v>36.998848503512683</v>
      </c>
      <c r="D77" s="22">
        <f t="shared" si="8"/>
        <v>332.98963653161411</v>
      </c>
      <c r="E77" s="23">
        <f t="shared" si="13"/>
        <v>66.597927306322831</v>
      </c>
      <c r="F77" s="5">
        <f t="shared" si="9"/>
        <v>7.399769700702536</v>
      </c>
      <c r="G77" s="5">
        <f t="shared" si="10"/>
        <v>59.198157605620295</v>
      </c>
    </row>
    <row r="78" spans="1:7" x14ac:dyDescent="0.2">
      <c r="A78">
        <f t="shared" si="11"/>
        <v>77</v>
      </c>
      <c r="B78" s="5">
        <f t="shared" si="12"/>
        <v>332.98963653161411</v>
      </c>
      <c r="C78" s="5">
        <f t="shared" si="7"/>
        <v>33.298963653161415</v>
      </c>
      <c r="D78" s="22">
        <f t="shared" si="8"/>
        <v>299.69067287845269</v>
      </c>
      <c r="E78" s="23">
        <f t="shared" si="13"/>
        <v>59.93813457569054</v>
      </c>
      <c r="F78" s="5">
        <f t="shared" si="9"/>
        <v>6.6597927306322822</v>
      </c>
      <c r="G78" s="5">
        <f t="shared" si="10"/>
        <v>53.278341845058257</v>
      </c>
    </row>
    <row r="79" spans="1:7" x14ac:dyDescent="0.2">
      <c r="A79">
        <f t="shared" si="11"/>
        <v>78</v>
      </c>
      <c r="B79" s="5">
        <f t="shared" si="12"/>
        <v>299.69067287845269</v>
      </c>
      <c r="C79" s="5">
        <f t="shared" si="7"/>
        <v>29.96906728784527</v>
      </c>
      <c r="D79" s="22">
        <f t="shared" si="8"/>
        <v>269.7216055906074</v>
      </c>
      <c r="E79" s="23">
        <f t="shared" si="13"/>
        <v>53.944321118121479</v>
      </c>
      <c r="F79" s="5">
        <f t="shared" si="9"/>
        <v>5.993813457569054</v>
      </c>
      <c r="G79" s="5">
        <f t="shared" si="10"/>
        <v>47.950507660552425</v>
      </c>
    </row>
    <row r="80" spans="1:7" x14ac:dyDescent="0.2">
      <c r="A80">
        <f t="shared" si="11"/>
        <v>79</v>
      </c>
      <c r="B80" s="5">
        <f t="shared" si="12"/>
        <v>269.7216055906074</v>
      </c>
      <c r="C80" s="5">
        <f t="shared" si="7"/>
        <v>26.97216055906074</v>
      </c>
      <c r="D80" s="22">
        <f t="shared" si="8"/>
        <v>242.74944503154666</v>
      </c>
      <c r="E80" s="23">
        <f t="shared" si="13"/>
        <v>48.549889006309336</v>
      </c>
      <c r="F80" s="5">
        <f t="shared" si="9"/>
        <v>5.3944321118121481</v>
      </c>
      <c r="G80" s="5">
        <f t="shared" si="10"/>
        <v>43.155456894497185</v>
      </c>
    </row>
    <row r="81" spans="1:7" x14ac:dyDescent="0.2">
      <c r="A81">
        <f t="shared" si="11"/>
        <v>80</v>
      </c>
      <c r="B81" s="5">
        <f t="shared" si="12"/>
        <v>242.74944503154666</v>
      </c>
      <c r="C81" s="5">
        <f t="shared" si="7"/>
        <v>24.274944503154668</v>
      </c>
      <c r="D81" s="22">
        <f t="shared" si="8"/>
        <v>218.47450052839199</v>
      </c>
      <c r="E81" s="23">
        <f t="shared" si="13"/>
        <v>43.6949001056784</v>
      </c>
      <c r="F81" s="5">
        <f t="shared" si="9"/>
        <v>4.854988900630933</v>
      </c>
      <c r="G81" s="5">
        <f t="shared" si="10"/>
        <v>38.839911205047464</v>
      </c>
    </row>
    <row r="82" spans="1:7" x14ac:dyDescent="0.2">
      <c r="A82">
        <f t="shared" si="11"/>
        <v>81</v>
      </c>
      <c r="B82" s="5">
        <f t="shared" si="12"/>
        <v>218.47450052839199</v>
      </c>
      <c r="C82" s="5">
        <f t="shared" si="7"/>
        <v>21.8474500528392</v>
      </c>
      <c r="D82" s="22">
        <f t="shared" si="8"/>
        <v>196.62705047555278</v>
      </c>
      <c r="E82" s="23">
        <f t="shared" si="13"/>
        <v>39.325410095110556</v>
      </c>
      <c r="F82" s="5">
        <f t="shared" si="9"/>
        <v>4.3694900105678398</v>
      </c>
      <c r="G82" s="5">
        <f t="shared" si="10"/>
        <v>34.955920084542718</v>
      </c>
    </row>
    <row r="83" spans="1:7" x14ac:dyDescent="0.2">
      <c r="A83">
        <f t="shared" si="11"/>
        <v>82</v>
      </c>
      <c r="B83" s="5">
        <f t="shared" si="12"/>
        <v>196.62705047555278</v>
      </c>
      <c r="C83" s="5">
        <f t="shared" si="7"/>
        <v>19.662705047555278</v>
      </c>
      <c r="D83" s="22">
        <f t="shared" si="8"/>
        <v>176.9643454279975</v>
      </c>
      <c r="E83" s="23">
        <f t="shared" si="13"/>
        <v>35.3928690855995</v>
      </c>
      <c r="F83" s="5">
        <f t="shared" si="9"/>
        <v>3.9325410095110556</v>
      </c>
      <c r="G83" s="5">
        <f t="shared" si="10"/>
        <v>31.460328076088445</v>
      </c>
    </row>
    <row r="84" spans="1:7" x14ac:dyDescent="0.2">
      <c r="A84">
        <f t="shared" si="11"/>
        <v>83</v>
      </c>
      <c r="B84" s="5">
        <f t="shared" si="12"/>
        <v>176.9643454279975</v>
      </c>
      <c r="C84" s="5">
        <f t="shared" si="7"/>
        <v>17.69643454279975</v>
      </c>
      <c r="D84" s="22">
        <f t="shared" si="8"/>
        <v>159.26791088519775</v>
      </c>
      <c r="E84" s="23">
        <f t="shared" si="13"/>
        <v>31.853582177039552</v>
      </c>
      <c r="F84" s="5">
        <f t="shared" si="9"/>
        <v>3.5392869085599501</v>
      </c>
      <c r="G84" s="5">
        <f t="shared" si="10"/>
        <v>28.314295268479601</v>
      </c>
    </row>
    <row r="85" spans="1:7" x14ac:dyDescent="0.2">
      <c r="A85">
        <f t="shared" si="11"/>
        <v>84</v>
      </c>
      <c r="B85" s="5">
        <f t="shared" si="12"/>
        <v>159.26791088519775</v>
      </c>
      <c r="C85" s="5">
        <f t="shared" si="7"/>
        <v>15.926791088519776</v>
      </c>
      <c r="D85" s="22">
        <f t="shared" si="8"/>
        <v>143.34111979667799</v>
      </c>
      <c r="E85" s="23">
        <f t="shared" si="13"/>
        <v>28.668223959335599</v>
      </c>
      <c r="F85" s="5">
        <f t="shared" si="9"/>
        <v>3.1853582177039552</v>
      </c>
      <c r="G85" s="5">
        <f t="shared" si="10"/>
        <v>25.482865741631642</v>
      </c>
    </row>
    <row r="86" spans="1:7" x14ac:dyDescent="0.2">
      <c r="A86">
        <f t="shared" si="11"/>
        <v>85</v>
      </c>
      <c r="B86" s="5">
        <f t="shared" si="12"/>
        <v>143.34111979667799</v>
      </c>
      <c r="C86" s="5">
        <f t="shared" si="7"/>
        <v>14.334111979667799</v>
      </c>
      <c r="D86" s="22">
        <f t="shared" si="8"/>
        <v>129.00700781701019</v>
      </c>
      <c r="E86" s="23">
        <f t="shared" si="13"/>
        <v>25.801401563402038</v>
      </c>
      <c r="F86" s="5">
        <f t="shared" si="9"/>
        <v>2.8668223959335597</v>
      </c>
      <c r="G86" s="5">
        <f t="shared" si="10"/>
        <v>22.934579167468478</v>
      </c>
    </row>
    <row r="87" spans="1:7" x14ac:dyDescent="0.2">
      <c r="A87">
        <f t="shared" si="11"/>
        <v>86</v>
      </c>
      <c r="B87" s="5">
        <f t="shared" si="12"/>
        <v>129.00700781701019</v>
      </c>
      <c r="C87" s="5">
        <f t="shared" si="7"/>
        <v>12.900700781701019</v>
      </c>
      <c r="D87" s="22">
        <f t="shared" si="8"/>
        <v>116.10630703530917</v>
      </c>
      <c r="E87" s="23">
        <f t="shared" si="13"/>
        <v>23.221261407061835</v>
      </c>
      <c r="F87" s="5">
        <f t="shared" si="9"/>
        <v>2.580140156340204</v>
      </c>
      <c r="G87" s="5">
        <f t="shared" si="10"/>
        <v>20.641121250721632</v>
      </c>
    </row>
    <row r="88" spans="1:7" x14ac:dyDescent="0.2">
      <c r="A88">
        <f t="shared" si="11"/>
        <v>87</v>
      </c>
      <c r="B88" s="5">
        <f t="shared" si="12"/>
        <v>116.10630703530917</v>
      </c>
      <c r="C88" s="5">
        <f t="shared" si="7"/>
        <v>11.610630703530918</v>
      </c>
      <c r="D88" s="22">
        <f t="shared" si="8"/>
        <v>104.49567633177826</v>
      </c>
      <c r="E88" s="23">
        <f t="shared" si="13"/>
        <v>20.899135266355653</v>
      </c>
      <c r="F88" s="5">
        <f t="shared" si="9"/>
        <v>2.3221261407061835</v>
      </c>
      <c r="G88" s="5">
        <f t="shared" si="10"/>
        <v>18.577009125649468</v>
      </c>
    </row>
    <row r="89" spans="1:7" x14ac:dyDescent="0.2">
      <c r="A89">
        <f t="shared" si="11"/>
        <v>88</v>
      </c>
      <c r="B89" s="5">
        <f t="shared" si="12"/>
        <v>104.49567633177826</v>
      </c>
      <c r="C89" s="5">
        <f t="shared" si="7"/>
        <v>10.449567633177827</v>
      </c>
      <c r="D89" s="22">
        <f t="shared" si="8"/>
        <v>94.046108698600435</v>
      </c>
      <c r="E89" s="23">
        <f t="shared" si="13"/>
        <v>18.809221739720087</v>
      </c>
      <c r="F89" s="5">
        <f t="shared" si="9"/>
        <v>2.0899135266355651</v>
      </c>
      <c r="G89" s="5">
        <f t="shared" si="10"/>
        <v>16.719308213084521</v>
      </c>
    </row>
    <row r="90" spans="1:7" x14ac:dyDescent="0.2">
      <c r="A90">
        <f t="shared" si="11"/>
        <v>89</v>
      </c>
      <c r="B90" s="5">
        <f t="shared" si="12"/>
        <v>94.046108698600435</v>
      </c>
      <c r="C90" s="5">
        <f t="shared" si="7"/>
        <v>9.4046108698600435</v>
      </c>
      <c r="D90" s="22">
        <f t="shared" si="8"/>
        <v>84.641497828740398</v>
      </c>
      <c r="E90" s="23">
        <f t="shared" si="13"/>
        <v>16.92829956574808</v>
      </c>
      <c r="F90" s="5">
        <f t="shared" si="9"/>
        <v>1.8809221739720088</v>
      </c>
      <c r="G90" s="5">
        <f t="shared" si="10"/>
        <v>15.047377391776072</v>
      </c>
    </row>
    <row r="91" spans="1:7" x14ac:dyDescent="0.2">
      <c r="A91">
        <f t="shared" si="11"/>
        <v>90</v>
      </c>
      <c r="B91" s="5">
        <f t="shared" si="12"/>
        <v>84.641497828740398</v>
      </c>
      <c r="C91" s="5">
        <f t="shared" si="7"/>
        <v>8.4641497828740402</v>
      </c>
      <c r="D91" s="22">
        <f t="shared" si="8"/>
        <v>76.177348045866353</v>
      </c>
      <c r="E91" s="23">
        <f t="shared" si="13"/>
        <v>15.235469609173272</v>
      </c>
      <c r="F91" s="5">
        <f t="shared" si="9"/>
        <v>1.6928299565748079</v>
      </c>
      <c r="G91" s="5">
        <f t="shared" si="10"/>
        <v>13.542639652598464</v>
      </c>
    </row>
    <row r="92" spans="1:7" x14ac:dyDescent="0.2">
      <c r="A92">
        <f t="shared" si="11"/>
        <v>91</v>
      </c>
      <c r="B92" s="5">
        <f t="shared" si="12"/>
        <v>76.177348045866353</v>
      </c>
      <c r="C92" s="5">
        <f t="shared" si="7"/>
        <v>7.617734804586636</v>
      </c>
      <c r="D92" s="22">
        <f t="shared" si="8"/>
        <v>68.55961324127972</v>
      </c>
      <c r="E92" s="23">
        <f t="shared" si="13"/>
        <v>13.711922648255944</v>
      </c>
      <c r="F92" s="5">
        <f t="shared" si="9"/>
        <v>1.5235469609173271</v>
      </c>
      <c r="G92" s="5">
        <f t="shared" si="10"/>
        <v>12.188375687338617</v>
      </c>
    </row>
    <row r="93" spans="1:7" x14ac:dyDescent="0.2">
      <c r="A93">
        <f t="shared" si="11"/>
        <v>92</v>
      </c>
      <c r="B93" s="5">
        <f t="shared" si="12"/>
        <v>68.55961324127972</v>
      </c>
      <c r="C93" s="5">
        <f t="shared" si="7"/>
        <v>6.8559613241279722</v>
      </c>
      <c r="D93" s="22">
        <f t="shared" si="8"/>
        <v>61.703651917151745</v>
      </c>
      <c r="E93" s="23">
        <f t="shared" si="13"/>
        <v>12.340730383430349</v>
      </c>
      <c r="F93" s="5">
        <f t="shared" si="9"/>
        <v>1.3711922648255945</v>
      </c>
      <c r="G93" s="5">
        <f t="shared" si="10"/>
        <v>10.969538118604754</v>
      </c>
    </row>
    <row r="94" spans="1:7" x14ac:dyDescent="0.2">
      <c r="A94">
        <f t="shared" si="11"/>
        <v>93</v>
      </c>
      <c r="B94" s="5">
        <f t="shared" si="12"/>
        <v>61.703651917151745</v>
      </c>
      <c r="C94" s="5">
        <f t="shared" si="7"/>
        <v>6.1703651917151747</v>
      </c>
      <c r="D94" s="22">
        <f t="shared" si="8"/>
        <v>55.533286725436568</v>
      </c>
      <c r="E94" s="23">
        <f t="shared" si="13"/>
        <v>11.106657345087314</v>
      </c>
      <c r="F94" s="5">
        <f t="shared" si="9"/>
        <v>1.2340730383430349</v>
      </c>
      <c r="G94" s="5">
        <f t="shared" si="10"/>
        <v>9.8725843067442796</v>
      </c>
    </row>
    <row r="95" spans="1:7" x14ac:dyDescent="0.2">
      <c r="A95">
        <f t="shared" si="11"/>
        <v>94</v>
      </c>
      <c r="B95" s="5">
        <f t="shared" si="12"/>
        <v>55.533286725436568</v>
      </c>
      <c r="C95" s="5">
        <f t="shared" si="7"/>
        <v>5.5533286725436568</v>
      </c>
      <c r="D95" s="22">
        <f t="shared" si="8"/>
        <v>49.979958052892911</v>
      </c>
      <c r="E95" s="23">
        <f t="shared" si="13"/>
        <v>9.9959916105785833</v>
      </c>
      <c r="F95" s="5">
        <f t="shared" si="9"/>
        <v>1.1106657345087314</v>
      </c>
      <c r="G95" s="5">
        <f t="shared" si="10"/>
        <v>8.8853258760698512</v>
      </c>
    </row>
    <row r="96" spans="1:7" x14ac:dyDescent="0.2">
      <c r="A96">
        <f t="shared" si="11"/>
        <v>95</v>
      </c>
      <c r="B96" s="5">
        <f t="shared" si="12"/>
        <v>49.979958052892911</v>
      </c>
      <c r="C96" s="5">
        <f t="shared" si="7"/>
        <v>4.9979958052892917</v>
      </c>
      <c r="D96" s="22">
        <f t="shared" si="8"/>
        <v>44.981962247603619</v>
      </c>
      <c r="E96" s="23">
        <f t="shared" si="13"/>
        <v>8.9963924495207248</v>
      </c>
      <c r="F96" s="5">
        <f t="shared" si="9"/>
        <v>0.99959916105785829</v>
      </c>
      <c r="G96" s="5">
        <f t="shared" si="10"/>
        <v>7.9967932884628663</v>
      </c>
    </row>
    <row r="97" spans="1:7" x14ac:dyDescent="0.2">
      <c r="A97">
        <f t="shared" si="11"/>
        <v>96</v>
      </c>
      <c r="B97" s="5">
        <f t="shared" si="12"/>
        <v>44.981962247603619</v>
      </c>
      <c r="C97" s="5">
        <f t="shared" si="7"/>
        <v>4.4981962247603624</v>
      </c>
      <c r="D97" s="22">
        <f t="shared" si="8"/>
        <v>40.483766022843255</v>
      </c>
      <c r="E97" s="23">
        <f t="shared" si="13"/>
        <v>8.0967532045686514</v>
      </c>
      <c r="F97" s="5">
        <f t="shared" si="9"/>
        <v>0.89963924495207237</v>
      </c>
      <c r="G97" s="5">
        <f t="shared" si="10"/>
        <v>7.197113959616579</v>
      </c>
    </row>
    <row r="98" spans="1:7" x14ac:dyDescent="0.2">
      <c r="A98">
        <f t="shared" si="11"/>
        <v>97</v>
      </c>
      <c r="B98" s="5">
        <f t="shared" si="12"/>
        <v>40.483766022843255</v>
      </c>
      <c r="C98" s="5">
        <f t="shared" si="7"/>
        <v>4.0483766022843257</v>
      </c>
      <c r="D98" s="22">
        <f t="shared" si="8"/>
        <v>36.435389420558927</v>
      </c>
      <c r="E98" s="23">
        <f t="shared" si="13"/>
        <v>7.2870778841117856</v>
      </c>
      <c r="F98" s="5">
        <f t="shared" si="9"/>
        <v>0.80967532045686508</v>
      </c>
      <c r="G98" s="5">
        <f t="shared" si="10"/>
        <v>6.4774025636549206</v>
      </c>
    </row>
    <row r="99" spans="1:7" x14ac:dyDescent="0.2">
      <c r="A99">
        <f t="shared" si="11"/>
        <v>98</v>
      </c>
      <c r="B99" s="5">
        <f t="shared" si="12"/>
        <v>36.435389420558927</v>
      </c>
      <c r="C99" s="5">
        <f t="shared" si="7"/>
        <v>3.6435389420558928</v>
      </c>
      <c r="D99" s="22">
        <f t="shared" si="8"/>
        <v>32.791850478503036</v>
      </c>
      <c r="E99" s="23">
        <f t="shared" si="13"/>
        <v>6.5583700957006075</v>
      </c>
      <c r="F99" s="5">
        <f t="shared" si="9"/>
        <v>0.72870778841117856</v>
      </c>
      <c r="G99" s="5">
        <f t="shared" si="10"/>
        <v>5.8296623072894285</v>
      </c>
    </row>
    <row r="100" spans="1:7" x14ac:dyDescent="0.2">
      <c r="A100">
        <f t="shared" si="11"/>
        <v>99</v>
      </c>
      <c r="B100" s="5">
        <f t="shared" si="12"/>
        <v>32.791850478503036</v>
      </c>
      <c r="C100" s="5">
        <f t="shared" si="7"/>
        <v>3.2791850478503037</v>
      </c>
      <c r="D100" s="22">
        <f t="shared" si="8"/>
        <v>29.512665430652731</v>
      </c>
      <c r="E100" s="23">
        <f t="shared" si="13"/>
        <v>5.9025330861305463</v>
      </c>
      <c r="F100" s="5">
        <f t="shared" si="9"/>
        <v>0.65583700957006075</v>
      </c>
      <c r="G100" s="5">
        <f t="shared" si="10"/>
        <v>5.246696076560486</v>
      </c>
    </row>
    <row r="101" spans="1:7" x14ac:dyDescent="0.2">
      <c r="A101">
        <f t="shared" si="11"/>
        <v>100</v>
      </c>
      <c r="B101" s="5">
        <f t="shared" si="12"/>
        <v>29.512665430652731</v>
      </c>
      <c r="C101" s="5">
        <f t="shared" si="7"/>
        <v>2.9512665430652731</v>
      </c>
      <c r="D101" s="22">
        <f t="shared" si="8"/>
        <v>26.561398887587458</v>
      </c>
      <c r="E101" s="23">
        <f t="shared" si="13"/>
        <v>5.3122797775174924</v>
      </c>
      <c r="F101" s="5">
        <f t="shared" si="9"/>
        <v>0.59025330861305469</v>
      </c>
      <c r="G101" s="5">
        <f t="shared" si="10"/>
        <v>4.7220264689044376</v>
      </c>
    </row>
    <row r="102" spans="1:7" x14ac:dyDescent="0.2">
      <c r="A102">
        <f t="shared" si="11"/>
        <v>101</v>
      </c>
      <c r="B102" s="5">
        <f t="shared" si="12"/>
        <v>26.561398887587458</v>
      </c>
      <c r="C102" s="5">
        <f t="shared" si="7"/>
        <v>2.6561398887587462</v>
      </c>
      <c r="D102" s="22">
        <f t="shared" si="8"/>
        <v>23.905258998828714</v>
      </c>
      <c r="E102" s="23">
        <f t="shared" si="13"/>
        <v>4.7810517997657431</v>
      </c>
      <c r="F102" s="5">
        <f t="shared" si="9"/>
        <v>0.53122797775174913</v>
      </c>
      <c r="G102" s="5">
        <f t="shared" si="10"/>
        <v>4.2498238220139939</v>
      </c>
    </row>
    <row r="103" spans="1:7" x14ac:dyDescent="0.2">
      <c r="A103">
        <f t="shared" si="11"/>
        <v>102</v>
      </c>
      <c r="B103" s="5">
        <f t="shared" si="12"/>
        <v>23.905258998828714</v>
      </c>
      <c r="C103" s="5">
        <f t="shared" si="7"/>
        <v>2.3905258998828716</v>
      </c>
      <c r="D103" s="22">
        <f t="shared" si="8"/>
        <v>21.514733098945843</v>
      </c>
      <c r="E103" s="23">
        <f t="shared" si="13"/>
        <v>4.3029466197891688</v>
      </c>
      <c r="F103" s="5">
        <f t="shared" si="9"/>
        <v>0.47810517997657431</v>
      </c>
      <c r="G103" s="5">
        <f t="shared" si="10"/>
        <v>3.8248414398125945</v>
      </c>
    </row>
    <row r="104" spans="1:7" x14ac:dyDescent="0.2">
      <c r="A104">
        <f t="shared" si="11"/>
        <v>103</v>
      </c>
      <c r="B104" s="5">
        <f t="shared" si="12"/>
        <v>21.514733098945843</v>
      </c>
      <c r="C104" s="5">
        <f t="shared" si="7"/>
        <v>2.1514733098945844</v>
      </c>
      <c r="D104" s="22">
        <f t="shared" si="8"/>
        <v>19.363259789051259</v>
      </c>
      <c r="E104" s="23">
        <f t="shared" si="13"/>
        <v>3.8726519578102518</v>
      </c>
      <c r="F104" s="5">
        <f t="shared" si="9"/>
        <v>0.43029466197891686</v>
      </c>
      <c r="G104" s="5">
        <f t="shared" si="10"/>
        <v>3.4423572958313349</v>
      </c>
    </row>
    <row r="105" spans="1:7" x14ac:dyDescent="0.2">
      <c r="A105">
        <f t="shared" si="11"/>
        <v>104</v>
      </c>
      <c r="B105" s="5">
        <f t="shared" si="12"/>
        <v>19.363259789051259</v>
      </c>
      <c r="C105" s="5">
        <f t="shared" si="7"/>
        <v>1.9363259789051259</v>
      </c>
      <c r="D105" s="22">
        <f t="shared" si="8"/>
        <v>17.426933810146132</v>
      </c>
      <c r="E105" s="23">
        <f t="shared" si="13"/>
        <v>3.4853867620292265</v>
      </c>
      <c r="F105" s="5">
        <f t="shared" si="9"/>
        <v>0.3872651957810252</v>
      </c>
      <c r="G105" s="5">
        <f t="shared" si="10"/>
        <v>3.0981215662482011</v>
      </c>
    </row>
    <row r="106" spans="1:7" x14ac:dyDescent="0.2">
      <c r="A106">
        <f t="shared" si="11"/>
        <v>105</v>
      </c>
      <c r="B106" s="5">
        <f t="shared" si="12"/>
        <v>17.426933810146132</v>
      </c>
      <c r="C106" s="5">
        <f t="shared" si="7"/>
        <v>1.7426933810146132</v>
      </c>
      <c r="D106" s="22">
        <f t="shared" si="8"/>
        <v>15.684240429131519</v>
      </c>
      <c r="E106" s="23">
        <f t="shared" si="13"/>
        <v>3.1368480858263039</v>
      </c>
      <c r="F106" s="5">
        <f t="shared" si="9"/>
        <v>0.34853867620292261</v>
      </c>
      <c r="G106" s="5">
        <f t="shared" si="10"/>
        <v>2.7883094096233814</v>
      </c>
    </row>
    <row r="107" spans="1:7" x14ac:dyDescent="0.2">
      <c r="A107">
        <f t="shared" si="11"/>
        <v>106</v>
      </c>
      <c r="B107" s="5">
        <f t="shared" si="12"/>
        <v>15.684240429131519</v>
      </c>
      <c r="C107" s="5">
        <f t="shared" si="7"/>
        <v>1.568424042913152</v>
      </c>
      <c r="D107" s="22">
        <f t="shared" si="8"/>
        <v>14.115816386218366</v>
      </c>
      <c r="E107" s="23">
        <f t="shared" si="13"/>
        <v>2.8231632772436734</v>
      </c>
      <c r="F107" s="5">
        <f t="shared" si="9"/>
        <v>0.31368480858263037</v>
      </c>
      <c r="G107" s="5">
        <f t="shared" si="10"/>
        <v>2.509478468661043</v>
      </c>
    </row>
    <row r="108" spans="1:7" x14ac:dyDescent="0.2">
      <c r="A108">
        <f t="shared" si="11"/>
        <v>107</v>
      </c>
      <c r="B108" s="5">
        <f t="shared" si="12"/>
        <v>14.115816386218366</v>
      </c>
      <c r="C108" s="5">
        <f t="shared" si="7"/>
        <v>1.4115816386218367</v>
      </c>
      <c r="D108" s="22">
        <f t="shared" si="8"/>
        <v>12.70423474759653</v>
      </c>
      <c r="E108" s="23">
        <f t="shared" si="13"/>
        <v>2.540846949519306</v>
      </c>
      <c r="F108" s="5">
        <f t="shared" si="9"/>
        <v>0.28231632772436732</v>
      </c>
      <c r="G108" s="5">
        <f t="shared" si="10"/>
        <v>2.2585306217949386</v>
      </c>
    </row>
    <row r="109" spans="1:7" x14ac:dyDescent="0.2">
      <c r="A109">
        <f t="shared" si="11"/>
        <v>108</v>
      </c>
      <c r="B109" s="5">
        <f t="shared" si="12"/>
        <v>12.70423474759653</v>
      </c>
      <c r="C109" s="5">
        <f t="shared" si="7"/>
        <v>1.270423474759653</v>
      </c>
      <c r="D109" s="22">
        <f t="shared" si="8"/>
        <v>11.433811272836877</v>
      </c>
      <c r="E109" s="23">
        <f t="shared" si="13"/>
        <v>2.2867622545673756</v>
      </c>
      <c r="F109" s="5">
        <f t="shared" si="9"/>
        <v>0.25408469495193059</v>
      </c>
      <c r="G109" s="5">
        <f t="shared" si="10"/>
        <v>2.0326775596154452</v>
      </c>
    </row>
    <row r="110" spans="1:7" x14ac:dyDescent="0.2">
      <c r="A110">
        <f t="shared" si="11"/>
        <v>109</v>
      </c>
      <c r="B110" s="5">
        <f t="shared" si="12"/>
        <v>11.433811272836877</v>
      </c>
      <c r="C110" s="5">
        <f t="shared" si="7"/>
        <v>1.1433811272836878</v>
      </c>
      <c r="D110" s="22">
        <f t="shared" si="8"/>
        <v>10.29043014555319</v>
      </c>
      <c r="E110" s="23">
        <f t="shared" si="13"/>
        <v>2.0580860291106382</v>
      </c>
      <c r="F110" s="5">
        <f t="shared" si="9"/>
        <v>0.22867622545673755</v>
      </c>
      <c r="G110" s="5">
        <f t="shared" si="10"/>
        <v>1.8294098036539006</v>
      </c>
    </row>
    <row r="111" spans="1:7" x14ac:dyDescent="0.2">
      <c r="A111">
        <f t="shared" si="11"/>
        <v>110</v>
      </c>
      <c r="B111" s="5">
        <f t="shared" si="12"/>
        <v>10.29043014555319</v>
      </c>
      <c r="C111" s="5">
        <f t="shared" si="7"/>
        <v>1.0290430145553191</v>
      </c>
      <c r="D111" s="22">
        <f t="shared" si="8"/>
        <v>9.2613871309978713</v>
      </c>
      <c r="E111" s="23">
        <f t="shared" si="13"/>
        <v>1.8522774261995743</v>
      </c>
      <c r="F111" s="5">
        <f t="shared" si="9"/>
        <v>0.20580860291106379</v>
      </c>
      <c r="G111" s="5">
        <f t="shared" si="10"/>
        <v>1.6464688232885105</v>
      </c>
    </row>
    <row r="112" spans="1:7" x14ac:dyDescent="0.2">
      <c r="A112">
        <f t="shared" si="11"/>
        <v>111</v>
      </c>
      <c r="B112" s="5">
        <f t="shared" si="12"/>
        <v>9.2613871309978713</v>
      </c>
      <c r="C112" s="5">
        <f t="shared" si="7"/>
        <v>0.92613871309978713</v>
      </c>
      <c r="D112" s="22">
        <f t="shared" si="8"/>
        <v>8.3352484178980841</v>
      </c>
      <c r="E112" s="23">
        <f t="shared" si="13"/>
        <v>1.6670496835796169</v>
      </c>
      <c r="F112" s="5">
        <f t="shared" si="9"/>
        <v>0.18522774261995742</v>
      </c>
      <c r="G112" s="5">
        <f t="shared" si="10"/>
        <v>1.4818219409596596</v>
      </c>
    </row>
    <row r="113" spans="1:7" x14ac:dyDescent="0.2">
      <c r="A113">
        <f t="shared" si="11"/>
        <v>112</v>
      </c>
      <c r="B113" s="5">
        <f t="shared" si="12"/>
        <v>8.3352484178980841</v>
      </c>
      <c r="C113" s="5">
        <f t="shared" si="7"/>
        <v>0.83352484178980846</v>
      </c>
      <c r="D113" s="22">
        <f t="shared" si="8"/>
        <v>7.5017235761082759</v>
      </c>
      <c r="E113" s="23">
        <f t="shared" si="13"/>
        <v>1.5003447152216554</v>
      </c>
      <c r="F113" s="5">
        <f t="shared" si="9"/>
        <v>0.1667049683579617</v>
      </c>
      <c r="G113" s="5">
        <f t="shared" si="10"/>
        <v>1.3336397468636936</v>
      </c>
    </row>
    <row r="114" spans="1:7" x14ac:dyDescent="0.2">
      <c r="A114">
        <f t="shared" si="11"/>
        <v>113</v>
      </c>
      <c r="B114" s="5">
        <f t="shared" si="12"/>
        <v>7.5017235761082759</v>
      </c>
      <c r="C114" s="5">
        <f t="shared" si="7"/>
        <v>0.75017235761082768</v>
      </c>
      <c r="D114" s="22">
        <f t="shared" si="8"/>
        <v>6.7515512184974487</v>
      </c>
      <c r="E114" s="23">
        <f t="shared" si="13"/>
        <v>1.3503102436994898</v>
      </c>
      <c r="F114" s="5">
        <f t="shared" si="9"/>
        <v>0.15003447152216551</v>
      </c>
      <c r="G114" s="5">
        <f t="shared" si="10"/>
        <v>1.2002757721773243</v>
      </c>
    </row>
    <row r="115" spans="1:7" x14ac:dyDescent="0.2">
      <c r="A115">
        <f t="shared" si="11"/>
        <v>114</v>
      </c>
      <c r="B115" s="5">
        <f t="shared" si="12"/>
        <v>6.7515512184974487</v>
      </c>
      <c r="C115" s="5">
        <f t="shared" si="7"/>
        <v>0.67515512184974491</v>
      </c>
      <c r="D115" s="22">
        <f t="shared" si="8"/>
        <v>6.076396096647704</v>
      </c>
      <c r="E115" s="23">
        <f t="shared" si="13"/>
        <v>1.215279219329541</v>
      </c>
      <c r="F115" s="5">
        <f t="shared" si="9"/>
        <v>0.13503102436994899</v>
      </c>
      <c r="G115" s="5">
        <f t="shared" si="10"/>
        <v>1.0802481949595919</v>
      </c>
    </row>
    <row r="116" spans="1:7" x14ac:dyDescent="0.2">
      <c r="A116">
        <f t="shared" si="11"/>
        <v>115</v>
      </c>
      <c r="B116" s="5">
        <f t="shared" si="12"/>
        <v>6.076396096647704</v>
      </c>
      <c r="C116" s="5">
        <f t="shared" si="7"/>
        <v>0.60763960966477049</v>
      </c>
      <c r="D116" s="22">
        <f t="shared" si="8"/>
        <v>5.468756486982933</v>
      </c>
      <c r="E116" s="23">
        <f t="shared" si="13"/>
        <v>1.0937512973965866</v>
      </c>
      <c r="F116" s="5">
        <f t="shared" si="9"/>
        <v>0.12152792193295409</v>
      </c>
      <c r="G116" s="5">
        <f t="shared" si="10"/>
        <v>0.97222337546363247</v>
      </c>
    </row>
    <row r="117" spans="1:7" x14ac:dyDescent="0.2">
      <c r="A117">
        <f t="shared" si="11"/>
        <v>116</v>
      </c>
      <c r="B117" s="5">
        <f t="shared" si="12"/>
        <v>5.468756486982933</v>
      </c>
      <c r="C117" s="5">
        <f t="shared" si="7"/>
        <v>0.5468756486982933</v>
      </c>
      <c r="D117" s="22">
        <f t="shared" si="8"/>
        <v>4.9218808382846397</v>
      </c>
      <c r="E117" s="23">
        <f t="shared" si="13"/>
        <v>0.98437616765692804</v>
      </c>
      <c r="F117" s="5">
        <f t="shared" si="9"/>
        <v>0.10937512973965867</v>
      </c>
      <c r="G117" s="5">
        <f t="shared" si="10"/>
        <v>0.87500103791726935</v>
      </c>
    </row>
    <row r="118" spans="1:7" x14ac:dyDescent="0.2">
      <c r="A118">
        <f t="shared" si="11"/>
        <v>117</v>
      </c>
      <c r="B118" s="5">
        <f t="shared" si="12"/>
        <v>4.9218808382846397</v>
      </c>
      <c r="C118" s="5">
        <f t="shared" si="7"/>
        <v>0.49218808382846402</v>
      </c>
      <c r="D118" s="22">
        <f t="shared" si="8"/>
        <v>4.4296927544561759</v>
      </c>
      <c r="E118" s="23">
        <f t="shared" si="13"/>
        <v>0.88593855089123519</v>
      </c>
      <c r="F118" s="5">
        <f t="shared" si="9"/>
        <v>9.8437616765692793E-2</v>
      </c>
      <c r="G118" s="5">
        <f t="shared" si="10"/>
        <v>0.78750093412554234</v>
      </c>
    </row>
    <row r="119" spans="1:7" x14ac:dyDescent="0.2">
      <c r="A119" t="s">
        <v>9</v>
      </c>
      <c r="B119" s="8">
        <f>SUM(B2:B118)</f>
        <v>9999955.7030724529</v>
      </c>
      <c r="C119" s="8">
        <f t="shared" ref="C119:G119" si="14">SUM(C2:C118)</f>
        <v>999995.57030724606</v>
      </c>
      <c r="D119" s="8">
        <f t="shared" si="14"/>
        <v>8999960.1327652056</v>
      </c>
      <c r="E119" s="8">
        <f t="shared" si="14"/>
        <v>1478692.0265530429</v>
      </c>
      <c r="F119" s="8">
        <f t="shared" si="14"/>
        <v>199999.11406144904</v>
      </c>
      <c r="G119" s="8">
        <f t="shared" si="14"/>
        <v>1278692.9124915928</v>
      </c>
    </row>
    <row r="120" spans="1:7" x14ac:dyDescent="0.2">
      <c r="A120" t="s">
        <v>9</v>
      </c>
      <c r="B120" s="5" t="s">
        <v>9</v>
      </c>
      <c r="C120" s="5" t="s">
        <v>9</v>
      </c>
      <c r="D120" s="5" t="s">
        <v>9</v>
      </c>
      <c r="E120" s="3" t="s">
        <v>9</v>
      </c>
      <c r="F120" s="5" t="s">
        <v>9</v>
      </c>
      <c r="G120" s="5" t="s">
        <v>10</v>
      </c>
    </row>
    <row r="121" spans="1:7" x14ac:dyDescent="0.2">
      <c r="A121" t="s">
        <v>9</v>
      </c>
      <c r="B121" s="5" t="s">
        <v>9</v>
      </c>
      <c r="C121" s="5" t="s">
        <v>9</v>
      </c>
      <c r="D121" s="5" t="s">
        <v>9</v>
      </c>
      <c r="E121" s="3" t="s">
        <v>9</v>
      </c>
      <c r="F121" s="5" t="s">
        <v>9</v>
      </c>
      <c r="G121" s="5" t="s">
        <v>10</v>
      </c>
    </row>
    <row r="122" spans="1:7" x14ac:dyDescent="0.2">
      <c r="A122" t="s">
        <v>9</v>
      </c>
      <c r="B122" s="5" t="s">
        <v>9</v>
      </c>
      <c r="C122" s="5" t="s">
        <v>9</v>
      </c>
      <c r="D122" s="5" t="s">
        <v>9</v>
      </c>
      <c r="E122" s="3" t="s">
        <v>9</v>
      </c>
      <c r="F122" s="5" t="s">
        <v>9</v>
      </c>
      <c r="G122" s="5" t="s">
        <v>10</v>
      </c>
    </row>
    <row r="123" spans="1:7" x14ac:dyDescent="0.2">
      <c r="A123" t="s">
        <v>9</v>
      </c>
      <c r="B123" s="5" t="s">
        <v>9</v>
      </c>
      <c r="C123" s="5" t="s">
        <v>9</v>
      </c>
      <c r="D123" s="5" t="s">
        <v>9</v>
      </c>
      <c r="E123" s="3" t="s">
        <v>9</v>
      </c>
      <c r="F123" s="5" t="s">
        <v>9</v>
      </c>
      <c r="G123" s="5" t="s">
        <v>10</v>
      </c>
    </row>
    <row r="124" spans="1:7" x14ac:dyDescent="0.2">
      <c r="A124" t="s">
        <v>9</v>
      </c>
      <c r="B124" s="5" t="s">
        <v>9</v>
      </c>
      <c r="C124" s="5" t="s">
        <v>9</v>
      </c>
      <c r="D124" s="5" t="s">
        <v>9</v>
      </c>
      <c r="E124" s="3" t="s">
        <v>9</v>
      </c>
      <c r="F124" s="5" t="s">
        <v>9</v>
      </c>
      <c r="G124" s="5" t="s">
        <v>10</v>
      </c>
    </row>
    <row r="125" spans="1:7" x14ac:dyDescent="0.2">
      <c r="A125" t="s">
        <v>9</v>
      </c>
      <c r="B125" s="5" t="s">
        <v>9</v>
      </c>
      <c r="C125" s="5" t="s">
        <v>9</v>
      </c>
      <c r="D125" s="5" t="s">
        <v>9</v>
      </c>
      <c r="E125" s="3" t="s">
        <v>9</v>
      </c>
      <c r="F125" s="5" t="s">
        <v>9</v>
      </c>
      <c r="G125" s="5" t="s">
        <v>10</v>
      </c>
    </row>
    <row r="126" spans="1:7" x14ac:dyDescent="0.2">
      <c r="A126" t="s">
        <v>9</v>
      </c>
      <c r="B126" s="5" t="s">
        <v>9</v>
      </c>
      <c r="C126" s="5" t="s">
        <v>9</v>
      </c>
      <c r="D126" s="5" t="s">
        <v>9</v>
      </c>
      <c r="E126" s="3" t="s">
        <v>9</v>
      </c>
      <c r="F126" s="5" t="s">
        <v>9</v>
      </c>
      <c r="G126" s="5" t="s">
        <v>10</v>
      </c>
    </row>
    <row r="127" spans="1:7" x14ac:dyDescent="0.2">
      <c r="A127" t="s">
        <v>9</v>
      </c>
      <c r="B127" s="5" t="s">
        <v>9</v>
      </c>
      <c r="C127" s="5" t="s">
        <v>9</v>
      </c>
      <c r="D127" s="5" t="s">
        <v>9</v>
      </c>
      <c r="E127" s="3" t="s">
        <v>9</v>
      </c>
      <c r="F127" s="5" t="s">
        <v>9</v>
      </c>
      <c r="G127" s="5" t="s">
        <v>10</v>
      </c>
    </row>
    <row r="128" spans="1:7" x14ac:dyDescent="0.2">
      <c r="A128" t="s">
        <v>9</v>
      </c>
      <c r="B128" s="5" t="s">
        <v>9</v>
      </c>
      <c r="C128" s="5" t="s">
        <v>9</v>
      </c>
      <c r="D128" s="5" t="s">
        <v>9</v>
      </c>
      <c r="E128" s="3" t="s">
        <v>9</v>
      </c>
      <c r="F128" s="5" t="s">
        <v>9</v>
      </c>
      <c r="G128" s="5" t="s">
        <v>10</v>
      </c>
    </row>
    <row r="129" spans="1:7" x14ac:dyDescent="0.2">
      <c r="A129" t="s">
        <v>9</v>
      </c>
      <c r="B129" s="5" t="s">
        <v>9</v>
      </c>
      <c r="C129" s="5" t="s">
        <v>9</v>
      </c>
      <c r="D129" s="5" t="s">
        <v>9</v>
      </c>
      <c r="E129" s="3" t="s">
        <v>9</v>
      </c>
      <c r="F129" s="5" t="s">
        <v>9</v>
      </c>
      <c r="G129" s="5" t="s">
        <v>10</v>
      </c>
    </row>
    <row r="130" spans="1:7" x14ac:dyDescent="0.2">
      <c r="A130" t="s">
        <v>9</v>
      </c>
      <c r="B130" s="5" t="s">
        <v>9</v>
      </c>
      <c r="C130" s="5" t="s">
        <v>9</v>
      </c>
      <c r="D130" s="5" t="s">
        <v>9</v>
      </c>
      <c r="E130" s="3" t="s">
        <v>9</v>
      </c>
      <c r="F130" s="5" t="s">
        <v>9</v>
      </c>
      <c r="G130" s="5" t="s">
        <v>10</v>
      </c>
    </row>
    <row r="131" spans="1:7" x14ac:dyDescent="0.2">
      <c r="A131" t="s">
        <v>9</v>
      </c>
      <c r="B131" s="5" t="s">
        <v>9</v>
      </c>
      <c r="C131" s="5" t="s">
        <v>9</v>
      </c>
      <c r="D131" s="5" t="s">
        <v>9</v>
      </c>
      <c r="E131" s="3" t="s">
        <v>9</v>
      </c>
      <c r="F131" s="5" t="s">
        <v>9</v>
      </c>
      <c r="G131" s="5" t="s">
        <v>10</v>
      </c>
    </row>
    <row r="132" spans="1:7" x14ac:dyDescent="0.2">
      <c r="A132" t="s">
        <v>9</v>
      </c>
      <c r="B132" s="5" t="s">
        <v>9</v>
      </c>
      <c r="C132" s="5" t="s">
        <v>9</v>
      </c>
      <c r="D132" s="5" t="s">
        <v>9</v>
      </c>
      <c r="E132" s="3" t="s">
        <v>9</v>
      </c>
      <c r="F132" s="5" t="s">
        <v>9</v>
      </c>
      <c r="G132" s="5" t="s">
        <v>10</v>
      </c>
    </row>
    <row r="133" spans="1:7" x14ac:dyDescent="0.2">
      <c r="A133" t="s">
        <v>9</v>
      </c>
      <c r="B133" s="5" t="s">
        <v>9</v>
      </c>
      <c r="C133" s="5" t="s">
        <v>9</v>
      </c>
      <c r="D133" s="5" t="s">
        <v>9</v>
      </c>
      <c r="E133" s="3" t="s">
        <v>9</v>
      </c>
      <c r="F133" s="5" t="s">
        <v>9</v>
      </c>
      <c r="G133" s="5" t="s">
        <v>10</v>
      </c>
    </row>
    <row r="134" spans="1:7" x14ac:dyDescent="0.2">
      <c r="A134" t="s">
        <v>9</v>
      </c>
      <c r="B134" s="5" t="s">
        <v>9</v>
      </c>
      <c r="C134" s="5" t="s">
        <v>9</v>
      </c>
      <c r="D134" s="5" t="s">
        <v>9</v>
      </c>
      <c r="E134" s="3" t="s">
        <v>9</v>
      </c>
      <c r="F134" s="5" t="s">
        <v>9</v>
      </c>
      <c r="G134" s="5" t="s">
        <v>10</v>
      </c>
    </row>
    <row r="135" spans="1:7" x14ac:dyDescent="0.2">
      <c r="A135" t="s">
        <v>9</v>
      </c>
      <c r="B135" s="5" t="s">
        <v>9</v>
      </c>
      <c r="C135" s="5" t="s">
        <v>9</v>
      </c>
      <c r="D135" s="5" t="s">
        <v>9</v>
      </c>
      <c r="E135" s="3" t="s">
        <v>9</v>
      </c>
      <c r="F135" s="5" t="s">
        <v>9</v>
      </c>
      <c r="G135" s="5" t="s">
        <v>10</v>
      </c>
    </row>
    <row r="136" spans="1:7" x14ac:dyDescent="0.2">
      <c r="A136" t="s">
        <v>9</v>
      </c>
      <c r="B136" s="5" t="s">
        <v>9</v>
      </c>
      <c r="C136" s="5" t="s">
        <v>9</v>
      </c>
      <c r="D136" s="5" t="s">
        <v>9</v>
      </c>
      <c r="E136" s="3" t="s">
        <v>9</v>
      </c>
      <c r="F136" s="5" t="s">
        <v>9</v>
      </c>
      <c r="G136" s="5" t="s">
        <v>10</v>
      </c>
    </row>
    <row r="137" spans="1:7" x14ac:dyDescent="0.2">
      <c r="A137" t="s">
        <v>9</v>
      </c>
      <c r="B137" s="5" t="s">
        <v>9</v>
      </c>
      <c r="C137" s="5" t="s">
        <v>9</v>
      </c>
      <c r="D137" s="5" t="s">
        <v>9</v>
      </c>
      <c r="E137" s="3" t="s">
        <v>9</v>
      </c>
      <c r="F137" s="5" t="s">
        <v>9</v>
      </c>
      <c r="G137" s="5" t="s">
        <v>10</v>
      </c>
    </row>
    <row r="138" spans="1:7" x14ac:dyDescent="0.2">
      <c r="A138" t="s">
        <v>9</v>
      </c>
      <c r="B138" s="5" t="s">
        <v>9</v>
      </c>
      <c r="C138" s="5" t="s">
        <v>9</v>
      </c>
      <c r="D138" s="5" t="s">
        <v>9</v>
      </c>
      <c r="E138" s="3" t="s">
        <v>9</v>
      </c>
      <c r="F138" s="5" t="s">
        <v>9</v>
      </c>
      <c r="G138" s="5" t="s">
        <v>10</v>
      </c>
    </row>
    <row r="139" spans="1:7" x14ac:dyDescent="0.2">
      <c r="A139" t="s">
        <v>9</v>
      </c>
      <c r="B139" s="5" t="s">
        <v>9</v>
      </c>
      <c r="C139" s="5" t="s">
        <v>9</v>
      </c>
      <c r="D139" s="5" t="s">
        <v>9</v>
      </c>
      <c r="E139" s="3" t="s">
        <v>9</v>
      </c>
      <c r="F139" s="5" t="s">
        <v>9</v>
      </c>
      <c r="G139" s="5" t="s">
        <v>10</v>
      </c>
    </row>
    <row r="140" spans="1:7" x14ac:dyDescent="0.2">
      <c r="A140" t="s">
        <v>9</v>
      </c>
      <c r="B140" s="5" t="s">
        <v>9</v>
      </c>
      <c r="C140" s="5" t="s">
        <v>9</v>
      </c>
      <c r="D140" s="5" t="s">
        <v>9</v>
      </c>
      <c r="E140" s="3" t="s">
        <v>9</v>
      </c>
      <c r="F140" s="5" t="s">
        <v>9</v>
      </c>
      <c r="G140" s="5" t="s">
        <v>10</v>
      </c>
    </row>
    <row r="141" spans="1:7" x14ac:dyDescent="0.2">
      <c r="A141" t="s">
        <v>9</v>
      </c>
      <c r="B141" s="5" t="s">
        <v>9</v>
      </c>
      <c r="C141" s="5" t="s">
        <v>9</v>
      </c>
      <c r="D141" s="5" t="s">
        <v>9</v>
      </c>
      <c r="E141" s="3" t="s">
        <v>9</v>
      </c>
      <c r="F141" s="5" t="s">
        <v>9</v>
      </c>
      <c r="G141" s="5" t="s">
        <v>10</v>
      </c>
    </row>
    <row r="142" spans="1:7" x14ac:dyDescent="0.2">
      <c r="A142" t="s">
        <v>9</v>
      </c>
      <c r="B142" s="5" t="s">
        <v>9</v>
      </c>
      <c r="C142" s="5" t="s">
        <v>9</v>
      </c>
      <c r="D142" s="5" t="s">
        <v>9</v>
      </c>
      <c r="E142" s="3" t="s">
        <v>9</v>
      </c>
      <c r="F142" s="5" t="s">
        <v>9</v>
      </c>
      <c r="G142" s="5" t="s">
        <v>10</v>
      </c>
    </row>
    <row r="143" spans="1:7" x14ac:dyDescent="0.2">
      <c r="A143" t="s">
        <v>9</v>
      </c>
      <c r="B143" s="5" t="s">
        <v>9</v>
      </c>
      <c r="C143" s="5" t="s">
        <v>9</v>
      </c>
      <c r="D143" s="5" t="s">
        <v>9</v>
      </c>
      <c r="E143" s="3" t="s">
        <v>9</v>
      </c>
      <c r="F143" s="5" t="s">
        <v>9</v>
      </c>
      <c r="G143" s="5" t="s">
        <v>10</v>
      </c>
    </row>
    <row r="144" spans="1:7" x14ac:dyDescent="0.2">
      <c r="A144" t="s">
        <v>9</v>
      </c>
      <c r="B144" s="5" t="s">
        <v>9</v>
      </c>
      <c r="C144" s="5" t="s">
        <v>9</v>
      </c>
      <c r="D144" s="5" t="s">
        <v>9</v>
      </c>
      <c r="E144" s="3" t="s">
        <v>9</v>
      </c>
      <c r="F144" s="5" t="s">
        <v>9</v>
      </c>
      <c r="G144" s="5" t="s">
        <v>10</v>
      </c>
    </row>
    <row r="145" spans="1:7" x14ac:dyDescent="0.2">
      <c r="A145" t="s">
        <v>9</v>
      </c>
      <c r="B145" s="5" t="s">
        <v>9</v>
      </c>
      <c r="C145" s="5" t="s">
        <v>9</v>
      </c>
      <c r="D145" s="5" t="s">
        <v>9</v>
      </c>
      <c r="E145" s="3" t="s">
        <v>9</v>
      </c>
      <c r="F145" s="5" t="s">
        <v>9</v>
      </c>
      <c r="G145" s="5" t="s">
        <v>10</v>
      </c>
    </row>
    <row r="146" spans="1:7" x14ac:dyDescent="0.2">
      <c r="A146" t="s">
        <v>9</v>
      </c>
      <c r="B146" s="5" t="s">
        <v>9</v>
      </c>
      <c r="C146" s="5" t="s">
        <v>9</v>
      </c>
      <c r="D146" s="5" t="s">
        <v>9</v>
      </c>
      <c r="E146" s="3" t="s">
        <v>9</v>
      </c>
      <c r="F146" s="5" t="s">
        <v>9</v>
      </c>
      <c r="G146" s="5" t="s">
        <v>10</v>
      </c>
    </row>
    <row r="147" spans="1:7" x14ac:dyDescent="0.2">
      <c r="A147" t="s">
        <v>9</v>
      </c>
      <c r="B147" s="5" t="s">
        <v>9</v>
      </c>
      <c r="C147" s="5" t="s">
        <v>9</v>
      </c>
      <c r="D147" s="5" t="s">
        <v>9</v>
      </c>
      <c r="E147" s="3" t="s">
        <v>9</v>
      </c>
      <c r="F147" s="5" t="s">
        <v>9</v>
      </c>
      <c r="G147" s="5" t="s">
        <v>10</v>
      </c>
    </row>
    <row r="148" spans="1:7" x14ac:dyDescent="0.2">
      <c r="A148" t="s">
        <v>9</v>
      </c>
      <c r="B148" s="5" t="s">
        <v>9</v>
      </c>
      <c r="C148" s="5" t="s">
        <v>9</v>
      </c>
      <c r="D148" s="5" t="s">
        <v>9</v>
      </c>
      <c r="E148" s="3" t="s">
        <v>9</v>
      </c>
      <c r="F148" s="5" t="s">
        <v>9</v>
      </c>
      <c r="G148" s="5" t="s">
        <v>10</v>
      </c>
    </row>
    <row r="149" spans="1:7" x14ac:dyDescent="0.2">
      <c r="A149" t="s">
        <v>9</v>
      </c>
      <c r="B149" s="5" t="s">
        <v>9</v>
      </c>
      <c r="C149" s="5" t="s">
        <v>9</v>
      </c>
      <c r="D149" s="5" t="s">
        <v>9</v>
      </c>
      <c r="E149" s="3" t="s">
        <v>9</v>
      </c>
      <c r="F149" s="5" t="s">
        <v>9</v>
      </c>
      <c r="G149" s="5" t="s">
        <v>10</v>
      </c>
    </row>
    <row r="150" spans="1:7" x14ac:dyDescent="0.2">
      <c r="A150" t="s">
        <v>9</v>
      </c>
      <c r="B150" s="5" t="s">
        <v>9</v>
      </c>
      <c r="C150" s="5" t="s">
        <v>9</v>
      </c>
      <c r="D150" s="5" t="s">
        <v>9</v>
      </c>
      <c r="E150" s="3" t="s">
        <v>9</v>
      </c>
      <c r="F150" s="5" t="s">
        <v>9</v>
      </c>
      <c r="G150" s="5" t="s">
        <v>10</v>
      </c>
    </row>
    <row r="151" spans="1:7" x14ac:dyDescent="0.2">
      <c r="A151" t="s">
        <v>9</v>
      </c>
      <c r="B151" s="5" t="s">
        <v>9</v>
      </c>
      <c r="C151" s="5" t="s">
        <v>9</v>
      </c>
      <c r="D151" s="5" t="s">
        <v>9</v>
      </c>
      <c r="E151" s="3" t="s">
        <v>9</v>
      </c>
      <c r="F151" s="5" t="s">
        <v>9</v>
      </c>
      <c r="G151" s="5" t="s">
        <v>10</v>
      </c>
    </row>
    <row r="152" spans="1:7" x14ac:dyDescent="0.2">
      <c r="A152" t="s">
        <v>9</v>
      </c>
      <c r="B152" s="5" t="s">
        <v>9</v>
      </c>
      <c r="C152" s="5" t="s">
        <v>9</v>
      </c>
      <c r="D152" s="5" t="s">
        <v>9</v>
      </c>
      <c r="E152" s="3" t="s">
        <v>9</v>
      </c>
      <c r="F152" s="5" t="s">
        <v>9</v>
      </c>
      <c r="G152" s="5" t="s">
        <v>10</v>
      </c>
    </row>
    <row r="153" spans="1:7" x14ac:dyDescent="0.2">
      <c r="A153" t="s">
        <v>9</v>
      </c>
      <c r="B153" s="5" t="s">
        <v>9</v>
      </c>
      <c r="C153" s="5" t="s">
        <v>9</v>
      </c>
      <c r="D153" s="5" t="s">
        <v>9</v>
      </c>
      <c r="E153" s="3" t="s">
        <v>9</v>
      </c>
      <c r="F153" s="5" t="s">
        <v>9</v>
      </c>
      <c r="G153" s="5" t="s">
        <v>10</v>
      </c>
    </row>
    <row r="154" spans="1:7" x14ac:dyDescent="0.2">
      <c r="A154" t="s">
        <v>9</v>
      </c>
      <c r="B154" s="5" t="s">
        <v>9</v>
      </c>
      <c r="C154" s="5" t="s">
        <v>9</v>
      </c>
      <c r="D154" s="5" t="s">
        <v>9</v>
      </c>
      <c r="E154" s="3" t="s">
        <v>9</v>
      </c>
      <c r="F154" s="5" t="s">
        <v>9</v>
      </c>
      <c r="G154" s="5" t="s">
        <v>10</v>
      </c>
    </row>
    <row r="155" spans="1:7" x14ac:dyDescent="0.2">
      <c r="A155" t="s">
        <v>9</v>
      </c>
      <c r="B155" s="5" t="s">
        <v>9</v>
      </c>
      <c r="C155" s="5" t="s">
        <v>9</v>
      </c>
      <c r="D155" s="5" t="s">
        <v>9</v>
      </c>
      <c r="E155" s="3" t="s">
        <v>9</v>
      </c>
      <c r="F155" s="5" t="s">
        <v>9</v>
      </c>
      <c r="G155" s="5" t="s">
        <v>10</v>
      </c>
    </row>
    <row r="156" spans="1:7" x14ac:dyDescent="0.2">
      <c r="A156" t="s">
        <v>9</v>
      </c>
      <c r="B156" s="5" t="s">
        <v>9</v>
      </c>
      <c r="C156" s="5" t="s">
        <v>9</v>
      </c>
      <c r="D156" s="5" t="s">
        <v>9</v>
      </c>
      <c r="E156" s="3" t="s">
        <v>9</v>
      </c>
      <c r="F156" s="5" t="s">
        <v>9</v>
      </c>
      <c r="G156" s="5" t="s">
        <v>10</v>
      </c>
    </row>
    <row r="157" spans="1:7" x14ac:dyDescent="0.2">
      <c r="A157" t="s">
        <v>9</v>
      </c>
      <c r="B157" s="5" t="s">
        <v>9</v>
      </c>
      <c r="C157" s="5" t="s">
        <v>9</v>
      </c>
      <c r="D157" s="5" t="s">
        <v>9</v>
      </c>
      <c r="E157" s="3" t="s">
        <v>9</v>
      </c>
      <c r="F157" s="5" t="s">
        <v>9</v>
      </c>
      <c r="G157" s="5" t="s">
        <v>10</v>
      </c>
    </row>
    <row r="158" spans="1:7" x14ac:dyDescent="0.2">
      <c r="A158" t="s">
        <v>9</v>
      </c>
      <c r="B158" s="5" t="s">
        <v>9</v>
      </c>
      <c r="C158" s="5" t="s">
        <v>9</v>
      </c>
      <c r="D158" s="5" t="s">
        <v>9</v>
      </c>
      <c r="E158" s="3" t="s">
        <v>9</v>
      </c>
      <c r="F158" s="5" t="s">
        <v>9</v>
      </c>
      <c r="G158" s="5" t="s">
        <v>10</v>
      </c>
    </row>
    <row r="159" spans="1:7" x14ac:dyDescent="0.2">
      <c r="A159" t="s">
        <v>9</v>
      </c>
      <c r="B159" s="5" t="s">
        <v>9</v>
      </c>
      <c r="C159" s="5" t="s">
        <v>9</v>
      </c>
      <c r="D159" s="5" t="s">
        <v>9</v>
      </c>
      <c r="E159" s="3" t="s">
        <v>9</v>
      </c>
      <c r="F159" s="5" t="s">
        <v>9</v>
      </c>
      <c r="G159" s="5" t="s">
        <v>10</v>
      </c>
    </row>
    <row r="160" spans="1:7" x14ac:dyDescent="0.2">
      <c r="A160" t="s">
        <v>9</v>
      </c>
      <c r="B160" s="5" t="s">
        <v>9</v>
      </c>
      <c r="C160" s="5" t="s">
        <v>9</v>
      </c>
      <c r="D160" s="5" t="s">
        <v>9</v>
      </c>
      <c r="E160" s="3" t="s">
        <v>9</v>
      </c>
      <c r="F160" s="5" t="s">
        <v>9</v>
      </c>
      <c r="G160" s="5" t="s">
        <v>10</v>
      </c>
    </row>
    <row r="161" spans="1:7" x14ac:dyDescent="0.2">
      <c r="A161" t="s">
        <v>9</v>
      </c>
      <c r="B161" s="5" t="s">
        <v>9</v>
      </c>
      <c r="C161" s="5" t="s">
        <v>9</v>
      </c>
      <c r="D161" s="5" t="s">
        <v>9</v>
      </c>
      <c r="E161" s="3" t="s">
        <v>9</v>
      </c>
      <c r="F161" s="5" t="s">
        <v>9</v>
      </c>
      <c r="G161" s="5" t="s">
        <v>10</v>
      </c>
    </row>
    <row r="162" spans="1:7" x14ac:dyDescent="0.2">
      <c r="A162" t="s">
        <v>9</v>
      </c>
      <c r="B162" s="5" t="s">
        <v>9</v>
      </c>
      <c r="C162" s="5" t="s">
        <v>9</v>
      </c>
      <c r="D162" s="5" t="s">
        <v>9</v>
      </c>
      <c r="E162" s="3" t="s">
        <v>9</v>
      </c>
      <c r="F162" s="5" t="s">
        <v>9</v>
      </c>
      <c r="G162" s="5" t="s">
        <v>10</v>
      </c>
    </row>
    <row r="163" spans="1:7" x14ac:dyDescent="0.2">
      <c r="A163" t="s">
        <v>9</v>
      </c>
      <c r="B163" s="5" t="s">
        <v>9</v>
      </c>
      <c r="C163" s="5" t="s">
        <v>9</v>
      </c>
      <c r="D163" s="5" t="s">
        <v>9</v>
      </c>
      <c r="E163" s="3" t="s">
        <v>9</v>
      </c>
      <c r="F163" s="5" t="s">
        <v>9</v>
      </c>
      <c r="G163" s="5" t="s">
        <v>10</v>
      </c>
    </row>
    <row r="164" spans="1:7" x14ac:dyDescent="0.2">
      <c r="A164" t="s">
        <v>9</v>
      </c>
      <c r="B164" s="5" t="s">
        <v>9</v>
      </c>
      <c r="C164" s="5" t="s">
        <v>9</v>
      </c>
      <c r="D164" s="5" t="s">
        <v>9</v>
      </c>
      <c r="E164" s="3" t="s">
        <v>9</v>
      </c>
      <c r="F164" s="5" t="s">
        <v>9</v>
      </c>
      <c r="G164" s="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D9B3-A77D-7540-80A7-3269702EBE1A}">
  <dimension ref="A2:O43"/>
  <sheetViews>
    <sheetView tabSelected="1" zoomScale="122" zoomScaleNormal="122" workbookViewId="0">
      <selection activeCell="G39" sqref="G39"/>
    </sheetView>
  </sheetViews>
  <sheetFormatPr baseColWidth="10" defaultRowHeight="16" x14ac:dyDescent="0.2"/>
  <cols>
    <col min="1" max="1" width="18.5" customWidth="1"/>
    <col min="2" max="2" width="18.6640625" customWidth="1"/>
    <col min="3" max="3" width="12.5" customWidth="1"/>
    <col min="4" max="4" width="3.6640625" customWidth="1"/>
    <col min="5" max="5" width="2.5" customWidth="1"/>
    <col min="6" max="6" width="18.6640625" customWidth="1"/>
    <col min="7" max="7" width="21.33203125" customWidth="1"/>
    <col min="8" max="8" width="4.83203125" customWidth="1"/>
    <col min="9" max="9" width="3" customWidth="1"/>
    <col min="10" max="10" width="24.83203125" customWidth="1"/>
    <col min="11" max="11" width="16" customWidth="1"/>
    <col min="12" max="12" width="3.6640625" customWidth="1"/>
    <col min="13" max="13" width="4" customWidth="1"/>
    <col min="14" max="14" width="24.5" customWidth="1"/>
    <col min="15" max="15" width="15.6640625" customWidth="1"/>
  </cols>
  <sheetData>
    <row r="2" spans="1:15" x14ac:dyDescent="0.2">
      <c r="G2" s="1" t="s">
        <v>23</v>
      </c>
    </row>
    <row r="3" spans="1:15" x14ac:dyDescent="0.2">
      <c r="D3" s="1" t="s">
        <v>26</v>
      </c>
      <c r="L3" t="s">
        <v>27</v>
      </c>
    </row>
    <row r="4" spans="1:15" x14ac:dyDescent="0.2">
      <c r="B4" t="s">
        <v>24</v>
      </c>
      <c r="F4" t="s">
        <v>25</v>
      </c>
      <c r="J4" t="s">
        <v>28</v>
      </c>
      <c r="N4" t="s">
        <v>29</v>
      </c>
    </row>
    <row r="5" spans="1:15" x14ac:dyDescent="0.2">
      <c r="A5" s="25"/>
      <c r="B5" s="25"/>
      <c r="C5" s="25"/>
      <c r="D5" s="25"/>
      <c r="E5" s="25"/>
      <c r="F5" s="25"/>
      <c r="G5" s="25"/>
      <c r="J5" s="25"/>
      <c r="K5" s="25"/>
      <c r="L5" s="25"/>
      <c r="M5" s="25"/>
      <c r="N5" s="25"/>
      <c r="O5" s="25"/>
    </row>
    <row r="6" spans="1:15" x14ac:dyDescent="0.2">
      <c r="D6" s="25"/>
      <c r="L6" s="25"/>
    </row>
    <row r="7" spans="1:15" x14ac:dyDescent="0.2">
      <c r="A7" s="26" t="s">
        <v>31</v>
      </c>
      <c r="B7" s="17">
        <f>'Fractional Reserve Products'!D2</f>
        <v>900000</v>
      </c>
      <c r="D7" s="25"/>
      <c r="J7" s="26" t="s">
        <v>38</v>
      </c>
      <c r="K7" s="17">
        <f>'Fractional Reserve Products'!E2</f>
        <v>45000</v>
      </c>
      <c r="L7" s="25"/>
      <c r="N7" s="11" t="s">
        <v>42</v>
      </c>
      <c r="O7" s="5">
        <f>SUM('Fractional Reserve Products'!F2:F118)</f>
        <v>199999.11406144904</v>
      </c>
    </row>
    <row r="8" spans="1:15" x14ac:dyDescent="0.2">
      <c r="A8" s="26" t="s">
        <v>32</v>
      </c>
      <c r="B8" s="18">
        <f>'Fractional Reserve Products'!D3</f>
        <v>810000</v>
      </c>
      <c r="D8" s="25"/>
      <c r="J8" s="26" t="s">
        <v>39</v>
      </c>
      <c r="K8" s="18">
        <f>'Fractional Reserve Products'!E3</f>
        <v>48600</v>
      </c>
      <c r="L8" s="25"/>
    </row>
    <row r="9" spans="1:15" x14ac:dyDescent="0.2">
      <c r="A9" s="26" t="s">
        <v>33</v>
      </c>
      <c r="B9" s="20">
        <f>'Fractional Reserve Products'!D4</f>
        <v>729000</v>
      </c>
      <c r="D9" s="25"/>
      <c r="J9" s="26" t="s">
        <v>40</v>
      </c>
      <c r="K9" s="20">
        <f>'Fractional Reserve Products'!E4</f>
        <v>72900</v>
      </c>
      <c r="L9" s="25"/>
    </row>
    <row r="10" spans="1:15" x14ac:dyDescent="0.2">
      <c r="A10" s="26" t="s">
        <v>34</v>
      </c>
      <c r="B10" s="22">
        <f>SUM('Fractional Reserve Products'!D5:D118)</f>
        <v>6560960.1327652112</v>
      </c>
      <c r="D10" s="25"/>
      <c r="J10" s="26" t="s">
        <v>41</v>
      </c>
      <c r="K10" s="22">
        <f>SUM('Fractional Reserve Products'!E5:E118)</f>
        <v>1312192.0265530425</v>
      </c>
      <c r="L10" s="25"/>
    </row>
    <row r="11" spans="1:15" x14ac:dyDescent="0.2">
      <c r="D11" s="25"/>
      <c r="L11" s="25"/>
    </row>
    <row r="12" spans="1:15" x14ac:dyDescent="0.2">
      <c r="D12" s="25"/>
      <c r="L12" s="25"/>
    </row>
    <row r="13" spans="1:15" x14ac:dyDescent="0.2">
      <c r="D13" s="25"/>
      <c r="L13" s="25"/>
      <c r="N13" s="1" t="s">
        <v>43</v>
      </c>
      <c r="O13" s="5">
        <f>O16-O7</f>
        <v>1278692.9124915935</v>
      </c>
    </row>
    <row r="14" spans="1:15" x14ac:dyDescent="0.2">
      <c r="D14" s="25"/>
      <c r="L14" s="25"/>
    </row>
    <row r="15" spans="1:15" x14ac:dyDescent="0.2">
      <c r="D15" s="25"/>
      <c r="L15" s="25"/>
    </row>
    <row r="16" spans="1:15" x14ac:dyDescent="0.2">
      <c r="A16" s="1" t="s">
        <v>44</v>
      </c>
      <c r="B16" s="6">
        <f>SUM(B7:B10)</f>
        <v>8999960.1327652112</v>
      </c>
      <c r="D16" s="25"/>
      <c r="F16" s="1" t="s">
        <v>44</v>
      </c>
      <c r="G16" s="6">
        <f>B16</f>
        <v>8999960.1327652112</v>
      </c>
      <c r="J16" s="1" t="s">
        <v>44</v>
      </c>
      <c r="K16" s="6">
        <f>SUM(K7:K10)</f>
        <v>1478692.0265530425</v>
      </c>
      <c r="L16" s="25"/>
      <c r="N16" s="1" t="s">
        <v>44</v>
      </c>
      <c r="O16" s="6">
        <f>K16</f>
        <v>1478692.0265530425</v>
      </c>
    </row>
    <row r="17" spans="1:15" x14ac:dyDescent="0.2">
      <c r="D17" s="25"/>
      <c r="L17" s="25"/>
    </row>
    <row r="18" spans="1:15" x14ac:dyDescent="0.2">
      <c r="D18" s="25"/>
      <c r="L18" s="25"/>
    </row>
    <row r="19" spans="1:15" x14ac:dyDescent="0.2">
      <c r="D19" s="25"/>
      <c r="L19" s="25"/>
    </row>
    <row r="20" spans="1:15" x14ac:dyDescent="0.2">
      <c r="D20" s="25"/>
      <c r="L20" s="25"/>
    </row>
    <row r="24" spans="1:15" x14ac:dyDescent="0.2">
      <c r="C24" s="1" t="s">
        <v>30</v>
      </c>
      <c r="L24" s="1" t="s">
        <v>30</v>
      </c>
    </row>
    <row r="26" spans="1:15" x14ac:dyDescent="0.2">
      <c r="D26" s="1" t="s">
        <v>26</v>
      </c>
      <c r="L26" t="s">
        <v>27</v>
      </c>
    </row>
    <row r="27" spans="1:15" x14ac:dyDescent="0.2">
      <c r="B27" s="1" t="s">
        <v>24</v>
      </c>
      <c r="F27" s="1" t="s">
        <v>25</v>
      </c>
      <c r="J27" t="s">
        <v>28</v>
      </c>
      <c r="N27" t="s">
        <v>29</v>
      </c>
    </row>
    <row r="28" spans="1:15" x14ac:dyDescent="0.2">
      <c r="A28" s="25"/>
      <c r="B28" s="25"/>
      <c r="C28" s="25"/>
      <c r="D28" s="25"/>
      <c r="E28" s="25"/>
      <c r="F28" s="25"/>
      <c r="G28" s="25"/>
      <c r="I28" s="25"/>
      <c r="J28" s="25"/>
      <c r="K28" s="25"/>
      <c r="L28" s="25"/>
      <c r="M28" s="25"/>
      <c r="N28" s="25"/>
      <c r="O28" s="25"/>
    </row>
    <row r="29" spans="1:15" x14ac:dyDescent="0.2">
      <c r="D29" s="25"/>
      <c r="L29" s="25"/>
    </row>
    <row r="30" spans="1:15" x14ac:dyDescent="0.2">
      <c r="A30" s="27" t="s">
        <v>35</v>
      </c>
      <c r="D30" s="25"/>
      <c r="F30" s="11" t="s">
        <v>31</v>
      </c>
      <c r="G30" s="17">
        <f>B7</f>
        <v>900000</v>
      </c>
      <c r="J30" s="26" t="s">
        <v>42</v>
      </c>
      <c r="K30" s="5">
        <f>O7</f>
        <v>199999.11406144904</v>
      </c>
      <c r="L30" s="25"/>
      <c r="N30" s="11" t="s">
        <v>38</v>
      </c>
      <c r="O30" s="17">
        <f>K7</f>
        <v>45000</v>
      </c>
    </row>
    <row r="31" spans="1:15" x14ac:dyDescent="0.2">
      <c r="A31" s="27" t="s">
        <v>36</v>
      </c>
      <c r="D31" s="25"/>
      <c r="F31" s="11" t="s">
        <v>32</v>
      </c>
      <c r="G31" s="18">
        <f>B8</f>
        <v>810000</v>
      </c>
      <c r="L31" s="25"/>
      <c r="N31" s="11" t="s">
        <v>39</v>
      </c>
      <c r="O31" s="18">
        <f>K8</f>
        <v>48600</v>
      </c>
    </row>
    <row r="32" spans="1:15" x14ac:dyDescent="0.2">
      <c r="A32" s="27" t="s">
        <v>37</v>
      </c>
      <c r="D32" s="25"/>
      <c r="F32" s="11" t="s">
        <v>33</v>
      </c>
      <c r="G32" s="20">
        <f>B9</f>
        <v>729000</v>
      </c>
      <c r="L32" s="25"/>
      <c r="N32" s="11" t="s">
        <v>40</v>
      </c>
      <c r="O32" s="20">
        <f>K9</f>
        <v>72900</v>
      </c>
    </row>
    <row r="33" spans="4:15" x14ac:dyDescent="0.2">
      <c r="D33" s="25"/>
      <c r="F33" s="11" t="s">
        <v>34</v>
      </c>
      <c r="G33" s="22">
        <f>B10</f>
        <v>6560960.1327652112</v>
      </c>
      <c r="L33" s="25"/>
      <c r="N33" s="11" t="s">
        <v>41</v>
      </c>
      <c r="O33" s="22">
        <f>K10</f>
        <v>1312192.0265530425</v>
      </c>
    </row>
    <row r="34" spans="4:15" x14ac:dyDescent="0.2">
      <c r="D34" s="25"/>
      <c r="L34" s="25"/>
    </row>
    <row r="35" spans="4:15" x14ac:dyDescent="0.2">
      <c r="D35" s="25"/>
      <c r="L35" s="25"/>
    </row>
    <row r="36" spans="4:15" x14ac:dyDescent="0.2">
      <c r="D36" s="25"/>
      <c r="L36" s="25"/>
    </row>
    <row r="37" spans="4:15" x14ac:dyDescent="0.2">
      <c r="D37" s="25"/>
      <c r="L37" s="25"/>
    </row>
    <row r="38" spans="4:15" x14ac:dyDescent="0.2">
      <c r="D38" s="25"/>
      <c r="L38" s="25"/>
    </row>
    <row r="39" spans="4:15" x14ac:dyDescent="0.2">
      <c r="D39" s="25"/>
      <c r="F39" s="1" t="s">
        <v>44</v>
      </c>
      <c r="G39" s="6">
        <f>SUM(G30:G33)</f>
        <v>8999960.1327652112</v>
      </c>
      <c r="J39" t="s">
        <v>43</v>
      </c>
      <c r="K39" s="5">
        <f>K30-K41</f>
        <v>-1278692.9124915935</v>
      </c>
      <c r="L39" s="25"/>
    </row>
    <row r="40" spans="4:15" x14ac:dyDescent="0.2">
      <c r="D40" s="25"/>
      <c r="L40" s="25"/>
    </row>
    <row r="41" spans="4:15" x14ac:dyDescent="0.2">
      <c r="D41" s="25"/>
      <c r="J41" s="1" t="s">
        <v>44</v>
      </c>
      <c r="K41" s="5">
        <f>O41</f>
        <v>1478692.0265530425</v>
      </c>
      <c r="L41" s="25"/>
      <c r="N41" s="1" t="s">
        <v>44</v>
      </c>
      <c r="O41" s="6">
        <f>SUM(O30:O33)</f>
        <v>1478692.0265530425</v>
      </c>
    </row>
    <row r="42" spans="4:15" x14ac:dyDescent="0.2">
      <c r="D42" s="25"/>
      <c r="L42" s="25"/>
    </row>
    <row r="43" spans="4:15" x14ac:dyDescent="0.2">
      <c r="D43" s="25"/>
      <c r="L43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Fractional Reserve</vt:lpstr>
      <vt:lpstr>Fractional Reserve Products</vt:lpstr>
      <vt:lpstr>Bank 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Runy Calmera</dc:creator>
  <cp:lastModifiedBy>Runy Calmera</cp:lastModifiedBy>
  <dcterms:created xsi:type="dcterms:W3CDTF">2025-11-15T11:53:22Z</dcterms:created>
  <dcterms:modified xsi:type="dcterms:W3CDTF">2025-11-17T23:54:06Z</dcterms:modified>
</cp:coreProperties>
</file>